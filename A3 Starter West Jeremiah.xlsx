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fsu-my.sharepoint.com/personal/jw24d_fsu_edu/Documents/Documents/"/>
    </mc:Choice>
  </mc:AlternateContent>
  <xr:revisionPtr revIDLastSave="15" documentId="14_{DAF5098D-E07A-43DA-85B2-21DCDCB5CE90}" xr6:coauthVersionLast="47" xr6:coauthVersionMax="47" xr10:uidLastSave="{6F98E86A-3066-4494-9279-EEB4EC56E8D0}"/>
  <bookViews>
    <workbookView xWindow="-120" yWindow="-120" windowWidth="22290" windowHeight="11490" activeTab="2" xr2:uid="{28886067-6EC3-4AE2-AA4F-3BDDD6E53543}"/>
  </bookViews>
  <sheets>
    <sheet name="Pie Of Pie" sheetId="1" r:id="rId1"/>
    <sheet name="Footware Purchases" sheetId="2" r:id="rId2"/>
    <sheet name="Camping Purchases" sheetId="3" r:id="rId3"/>
    <sheet name="Personal Monthly Cashflow" sheetId="4" r:id="rId4"/>
    <sheet name="S &amp; P 500" sheetId="5" r:id="rId5"/>
    <sheet name="Apple" sheetId="6" r:id="rId6"/>
  </sheets>
  <definedNames>
    <definedName name="_xlchart.v1.0" hidden="1">'Personal Monthly Cashflow'!$B$2:$B$44</definedName>
    <definedName name="_xlchart.v1.1" hidden="1">'Personal Monthly Cashflow'!$C$1</definedName>
    <definedName name="_xlchart.v1.10" hidden="1">Apple!$F$4:$F$78</definedName>
    <definedName name="_xlchart.v1.2" hidden="1">'Personal Monthly Cashflow'!$C$2:$C$44</definedName>
    <definedName name="_xlchart.v1.3" hidden="1">'Personal Monthly Cashflow'!$B$2:$B$44</definedName>
    <definedName name="_xlchart.v1.4" hidden="1">'Personal Monthly Cashflow'!$C$1</definedName>
    <definedName name="_xlchart.v1.5" hidden="1">'Personal Monthly Cashflow'!$C$2:$C$44</definedName>
    <definedName name="_xlchart.v1.6" hidden="1">Apple!$A$4:$A$78</definedName>
    <definedName name="_xlchart.v1.7" hidden="1">Apple!$B$4:$B$78</definedName>
    <definedName name="_xlchart.v1.8" hidden="1">Apple!$C$4:$C$78</definedName>
    <definedName name="_xlchart.v1.9" hidden="1">Apple!$E$4:$E$78</definedName>
    <definedName name="Semester">"2026 Spring"</definedName>
    <definedName name="solver_eng" localSheetId="3" hidden="1">1</definedName>
    <definedName name="solver_neg" localSheetId="3" hidden="1">1</definedName>
    <definedName name="solver_num" localSheetId="3" hidden="1">0</definedName>
    <definedName name="solver_opt" localSheetId="3" hidden="1">'Personal Monthly Cashflow'!$A$1</definedName>
    <definedName name="solver_typ" localSheetId="3" hidden="1">1</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4" l="1"/>
  <c r="G12" i="3"/>
  <c r="F12" i="3"/>
  <c r="E12" i="3"/>
  <c r="D12" i="3"/>
  <c r="C12" i="3"/>
  <c r="B12" i="3"/>
  <c r="G12" i="2"/>
  <c r="F12" i="2"/>
  <c r="E12" i="2"/>
  <c r="D12" i="2"/>
  <c r="C12" i="2"/>
  <c r="B12" i="2"/>
  <c r="A32" i="1"/>
  <c r="E27" i="1"/>
  <c r="D27" i="1"/>
  <c r="C27" i="1"/>
  <c r="B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Armstrong</author>
  </authors>
  <commentList>
    <comment ref="E27" authorId="0" shapeId="0" xr:uid="{BB86A007-A54A-439B-B0D7-405F4C121ACD}">
      <text>
        <r>
          <rPr>
            <b/>
            <sz val="9"/>
            <color indexed="81"/>
            <rFont val="Tahoma"/>
            <family val="2"/>
          </rPr>
          <t>Students:</t>
        </r>
        <r>
          <rPr>
            <sz val="9"/>
            <color indexed="81"/>
            <rFont val="Tahoma"/>
            <family val="2"/>
          </rPr>
          <t xml:space="preserve">
Please note that the little green triangle in the upper left corner of these cells is </t>
        </r>
        <r>
          <rPr>
            <b/>
            <u/>
            <sz val="9"/>
            <color indexed="81"/>
            <rFont val="Tahoma"/>
            <family val="2"/>
          </rPr>
          <t>NOT an error</t>
        </r>
        <r>
          <rPr>
            <sz val="9"/>
            <color indexed="81"/>
            <rFont val="Tahoma"/>
            <family val="2"/>
          </rPr>
          <t xml:space="preserve"> but rather a warning that the range of cells in the SUM function (E3:E25) has a number in an adjacent cell, the "year" in cell E2. 
It tells you this because the wizard thinks that  in your sum formula in E27 you accidentally forgot to include the adjacent number in E2 which is the year. We are smarter than they are so you can almost always ignore these little green triangles!
Please delete this note by right-clicking on this cell and selecting Delete Note.</t>
        </r>
      </text>
    </comment>
  </commentList>
</comments>
</file>

<file path=xl/sharedStrings.xml><?xml version="1.0" encoding="utf-8"?>
<sst xmlns="http://schemas.openxmlformats.org/spreadsheetml/2006/main" count="114" uniqueCount="76">
  <si>
    <t>Exercise</t>
  </si>
  <si>
    <t>Golf</t>
  </si>
  <si>
    <t>Team Goods</t>
  </si>
  <si>
    <t>Fishing Tackle</t>
  </si>
  <si>
    <t>Camping</t>
  </si>
  <si>
    <t>Optics</t>
  </si>
  <si>
    <t>Billiards &amp; Indoor Games</t>
  </si>
  <si>
    <t>Skiing, Downhill</t>
  </si>
  <si>
    <t>Wheel Sports &amp; Pogo Sticks</t>
  </si>
  <si>
    <t>Tennis</t>
  </si>
  <si>
    <t>Skin Diving &amp; Scuba Gear</t>
  </si>
  <si>
    <t>Basketball</t>
  </si>
  <si>
    <t>Baseball &amp; Softball</t>
  </si>
  <si>
    <t>Archery</t>
  </si>
  <si>
    <t>Skiing, Snowboards</t>
  </si>
  <si>
    <t>Bowling</t>
  </si>
  <si>
    <t>Hockey &amp; Ice Skates</t>
  </si>
  <si>
    <t>Football</t>
  </si>
  <si>
    <t>Soccer Balls</t>
  </si>
  <si>
    <t>Water Skis</t>
  </si>
  <si>
    <t>Skiing, Cross-Country</t>
  </si>
  <si>
    <t>Volleyball &amp; Badminton Sets</t>
  </si>
  <si>
    <t>Hurling</t>
  </si>
  <si>
    <t>2025 Fall</t>
  </si>
  <si>
    <t>Footwear Purchases by Age &amp; Gender</t>
  </si>
  <si>
    <t>US Population</t>
  </si>
  <si>
    <t>Age</t>
  </si>
  <si>
    <t>Under 14</t>
  </si>
  <si>
    <t>14-17</t>
  </si>
  <si>
    <t>18-24</t>
  </si>
  <si>
    <t>25-34</t>
  </si>
  <si>
    <t>35-44</t>
  </si>
  <si>
    <t>45-64</t>
  </si>
  <si>
    <t>65 &amp; Older</t>
  </si>
  <si>
    <t>Total</t>
  </si>
  <si>
    <t>Camping Equipment Purchases by Age &amp; Gender</t>
  </si>
  <si>
    <t>Date</t>
  </si>
  <si>
    <t>Item</t>
  </si>
  <si>
    <t>Amount</t>
  </si>
  <si>
    <t>Paycheck</t>
  </si>
  <si>
    <t>Charity</t>
  </si>
  <si>
    <t>Coffee</t>
  </si>
  <si>
    <t>Gasoline</t>
  </si>
  <si>
    <t>Groceries</t>
  </si>
  <si>
    <t>Pet Veterinarian</t>
  </si>
  <si>
    <t>Rent</t>
  </si>
  <si>
    <t>Doctor</t>
  </si>
  <si>
    <t>Dining Out</t>
  </si>
  <si>
    <t>Date Night</t>
  </si>
  <si>
    <t>Car Repair</t>
  </si>
  <si>
    <t>Pet Food</t>
  </si>
  <si>
    <t>Haircut</t>
  </si>
  <si>
    <t>Clothing</t>
  </si>
  <si>
    <t>Car Payment</t>
  </si>
  <si>
    <t>Healthclub</t>
  </si>
  <si>
    <t>Internet</t>
  </si>
  <si>
    <t>Cell Phone</t>
  </si>
  <si>
    <t>Auto Insurance</t>
  </si>
  <si>
    <t>Water Bill</t>
  </si>
  <si>
    <t>Savings Fund for Christmas Presents</t>
  </si>
  <si>
    <t>Savings Fund for Auto Maintenance</t>
  </si>
  <si>
    <t>2025 Summer</t>
  </si>
  <si>
    <t>Open</t>
  </si>
  <si>
    <t>High</t>
  </si>
  <si>
    <t>Low</t>
  </si>
  <si>
    <t>Close</t>
  </si>
  <si>
    <t>Volume</t>
  </si>
  <si>
    <t>Apple</t>
  </si>
  <si>
    <t>Stock Price History</t>
  </si>
  <si>
    <t>2026 Spring</t>
  </si>
  <si>
    <r>
      <t>Consumer Equipment Purchases by Sport (in millions)</t>
    </r>
    <r>
      <rPr>
        <b/>
        <sz val="13.5"/>
        <color theme="0"/>
        <rFont val="Arial"/>
        <family val="2"/>
      </rPr>
      <t xml:space="preserve"> 1/17/2026</t>
    </r>
  </si>
  <si>
    <t>The best is the 100% stackd column, it shows each age groups purchases in comparison to their population.</t>
  </si>
  <si>
    <t>The best area chart is the 1st one the Camping Area Chart, this one shows trends clearer.</t>
  </si>
  <si>
    <r>
      <rPr>
        <b/>
        <sz val="11"/>
        <color theme="1"/>
        <rFont val="Aptos Narrow"/>
        <family val="2"/>
        <scheme val="minor"/>
      </rPr>
      <t>What caused the deficit during the month:</t>
    </r>
    <r>
      <rPr>
        <sz val="11"/>
        <color theme="1"/>
        <rFont val="Aptos Narrow"/>
        <family val="2"/>
        <scheme val="minor"/>
      </rPr>
      <t xml:space="preserve"> ? Heavy fixed bills like rent and an unexpected car repair cause the negative</t>
    </r>
  </si>
  <si>
    <r>
      <rPr>
        <b/>
        <sz val="11"/>
        <color theme="1"/>
        <rFont val="Aptos Narrow"/>
        <family val="2"/>
        <scheme val="minor"/>
      </rPr>
      <t>What should you do with the extra money:</t>
    </r>
    <r>
      <rPr>
        <sz val="11"/>
        <color theme="1"/>
        <rFont val="Aptos Narrow"/>
        <family val="2"/>
        <scheme val="minor"/>
      </rPr>
      <t xml:space="preserve"> ? I would save the extra money for unexpected events like the car repair so I wont dip into negatives.</t>
    </r>
  </si>
  <si>
    <t>Apple has the better stock trend over the past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</si>
</sst>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3" formatCode="_(* #,##0.00_);_(* \(#,##0.00\);_(* &quot;-&quot;??_);_(@_)"/>
    <numFmt numFmtId="164" formatCode="&quot;Totals&quot;;&quot;Totals&quot;;&quot;Totals&quot;;&quot;Totals&quot;"/>
    <numFmt numFmtId="165" formatCode="&quot;S&amp;P 500&quot;;&quot;S&amp;P 500&quot;;&quot;S&amp;P 500&quot;;&quot;S&amp;P 500&quot;"/>
    <numFmt numFmtId="166" formatCode="&quot;Stock Price History&quot;;&quot;Stock Price History&quot;;&quot;Stock Price History&quot;;&quot;Stock Price History&quot;"/>
    <numFmt numFmtId="167" formatCode="m/d/yy;@"/>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name val="Arial"/>
      <family val="2"/>
    </font>
    <font>
      <b/>
      <sz val="13.5"/>
      <name val="Arial"/>
      <family val="2"/>
    </font>
    <font>
      <b/>
      <sz val="13.5"/>
      <color theme="0"/>
      <name val="Arial"/>
      <family val="2"/>
    </font>
    <font>
      <b/>
      <sz val="10"/>
      <name val="Arial"/>
      <family val="2"/>
    </font>
    <font>
      <sz val="10"/>
      <name val="Verdana"/>
      <family val="2"/>
    </font>
    <font>
      <b/>
      <sz val="9"/>
      <color indexed="81"/>
      <name val="Tahoma"/>
      <family val="2"/>
    </font>
    <font>
      <sz val="9"/>
      <color indexed="81"/>
      <name val="Tahoma"/>
      <family val="2"/>
    </font>
    <font>
      <b/>
      <u/>
      <sz val="9"/>
      <color indexed="81"/>
      <name val="Tahoma"/>
      <family val="2"/>
    </font>
    <font>
      <b/>
      <sz val="13.5"/>
      <color theme="1"/>
      <name val="Arial"/>
      <family val="2"/>
    </font>
    <font>
      <sz val="10"/>
      <color theme="1"/>
      <name val="Arial"/>
      <family val="2"/>
    </font>
    <font>
      <b/>
      <sz val="10"/>
      <color theme="1"/>
      <name val="Arial"/>
      <family val="2"/>
    </font>
    <font>
      <b/>
      <sz val="10"/>
      <color theme="1"/>
      <name val="Verdana"/>
      <family val="2"/>
    </font>
    <font>
      <sz val="10"/>
      <color theme="1"/>
      <name val="Verdana"/>
      <family val="2"/>
    </font>
    <font>
      <b/>
      <sz val="9"/>
      <color theme="1"/>
      <name val="Verdana"/>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4" fillId="0" borderId="0"/>
    <xf numFmtId="9" fontId="4" fillId="0" borderId="0" applyFont="0" applyFill="0" applyBorder="0" applyAlignment="0" applyProtection="0"/>
  </cellStyleXfs>
  <cellXfs count="48">
    <xf numFmtId="0" fontId="0" fillId="0" borderId="0" xfId="0"/>
    <xf numFmtId="0" fontId="5" fillId="0" borderId="0" xfId="2" applyFont="1"/>
    <xf numFmtId="0" fontId="4" fillId="0" borderId="0" xfId="2"/>
    <xf numFmtId="0" fontId="4" fillId="0" borderId="0" xfId="2" applyAlignment="1">
      <alignment horizontal="right" vertical="top" wrapText="1"/>
    </xf>
    <xf numFmtId="0" fontId="7" fillId="0" borderId="0" xfId="2" applyFont="1" applyAlignment="1">
      <alignment horizontal="right" vertical="top" wrapText="1"/>
    </xf>
    <xf numFmtId="0" fontId="4" fillId="0" borderId="0" xfId="2" applyAlignment="1">
      <alignment horizontal="left" vertical="top" wrapText="1"/>
    </xf>
    <xf numFmtId="8" fontId="4" fillId="0" borderId="0" xfId="2" applyNumberFormat="1" applyAlignment="1">
      <alignment horizontal="right" vertical="top" wrapText="1"/>
    </xf>
    <xf numFmtId="43" fontId="0" fillId="0" borderId="0" xfId="1" applyFont="1" applyFill="1" applyAlignment="1">
      <alignment horizontal="right" vertical="top" wrapText="1"/>
    </xf>
    <xf numFmtId="2" fontId="8" fillId="0" borderId="0" xfId="2" applyNumberFormat="1" applyFont="1" applyAlignment="1">
      <alignment horizontal="right"/>
    </xf>
    <xf numFmtId="0" fontId="4" fillId="0" borderId="0" xfId="2" applyAlignment="1">
      <alignment wrapText="1"/>
    </xf>
    <xf numFmtId="164" fontId="7" fillId="0" borderId="0" xfId="2" applyNumberFormat="1" applyFont="1"/>
    <xf numFmtId="8" fontId="7" fillId="0" borderId="0" xfId="2" applyNumberFormat="1" applyFont="1" applyAlignment="1">
      <alignment horizontal="right" vertical="top" wrapText="1"/>
    </xf>
    <xf numFmtId="14" fontId="3" fillId="0" borderId="0" xfId="0" applyNumberFormat="1" applyFont="1"/>
    <xf numFmtId="0" fontId="3" fillId="0" borderId="0" xfId="0" applyFont="1"/>
    <xf numFmtId="0" fontId="12" fillId="0" borderId="0" xfId="2" applyFont="1"/>
    <xf numFmtId="0" fontId="13" fillId="0" borderId="0" xfId="2" applyFont="1"/>
    <xf numFmtId="0" fontId="1" fillId="0" borderId="0" xfId="0" applyFont="1"/>
    <xf numFmtId="0" fontId="14" fillId="0" borderId="0" xfId="2" applyFont="1"/>
    <xf numFmtId="0" fontId="15" fillId="0" borderId="0" xfId="2" applyFont="1" applyAlignment="1">
      <alignment horizontal="left" vertical="top" wrapText="1"/>
    </xf>
    <xf numFmtId="0" fontId="15" fillId="0" borderId="0" xfId="2" applyFont="1" applyAlignment="1">
      <alignment horizontal="right" vertical="top" wrapText="1"/>
    </xf>
    <xf numFmtId="0" fontId="16" fillId="0" borderId="0" xfId="2" applyFont="1" applyAlignment="1">
      <alignment horizontal="left" vertical="top" wrapText="1"/>
    </xf>
    <xf numFmtId="10" fontId="16" fillId="0" borderId="0" xfId="2" applyNumberFormat="1" applyFont="1" applyAlignment="1">
      <alignment horizontal="right" vertical="top" wrapText="1"/>
    </xf>
    <xf numFmtId="10" fontId="1" fillId="0" borderId="0" xfId="3" applyNumberFormat="1" applyFont="1" applyFill="1"/>
    <xf numFmtId="10" fontId="15" fillId="0" borderId="0" xfId="2" applyNumberFormat="1" applyFont="1" applyAlignment="1">
      <alignment horizontal="right" vertical="top" wrapText="1"/>
    </xf>
    <xf numFmtId="14" fontId="2" fillId="0" borderId="1" xfId="0" applyNumberFormat="1" applyFont="1" applyBorder="1" applyAlignment="1">
      <alignment horizontal="center"/>
    </xf>
    <xf numFmtId="0" fontId="2" fillId="0" borderId="1" xfId="0" applyFont="1" applyBorder="1" applyAlignment="1">
      <alignment horizontal="center" wrapText="1"/>
    </xf>
    <xf numFmtId="14" fontId="0" fillId="0" borderId="1" xfId="0" applyNumberFormat="1" applyBorder="1"/>
    <xf numFmtId="0" fontId="0" fillId="0" borderId="1" xfId="0" applyBorder="1" applyAlignment="1">
      <alignment wrapText="1"/>
    </xf>
    <xf numFmtId="14" fontId="0" fillId="0" borderId="0" xfId="0" applyNumberFormat="1"/>
    <xf numFmtId="0" fontId="2" fillId="0" borderId="1" xfId="0" applyFont="1" applyBorder="1" applyAlignment="1">
      <alignment wrapText="1"/>
    </xf>
    <xf numFmtId="0" fontId="0" fillId="0" borderId="0" xfId="0" applyAlignment="1">
      <alignment wrapText="1"/>
    </xf>
    <xf numFmtId="165" fontId="13" fillId="0" borderId="0" xfId="2" applyNumberFormat="1" applyFont="1"/>
    <xf numFmtId="39" fontId="0" fillId="0" borderId="0" xfId="1" applyNumberFormat="1" applyFont="1"/>
    <xf numFmtId="166" fontId="13" fillId="0" borderId="0" xfId="2" applyNumberFormat="1" applyFont="1"/>
    <xf numFmtId="37" fontId="0" fillId="0" borderId="0" xfId="1" applyNumberFormat="1" applyFont="1"/>
    <xf numFmtId="4" fontId="0" fillId="0" borderId="0" xfId="0" applyNumberFormat="1"/>
    <xf numFmtId="3" fontId="0" fillId="0" borderId="0" xfId="0" applyNumberFormat="1"/>
    <xf numFmtId="4" fontId="0" fillId="0" borderId="0" xfId="1" applyNumberFormat="1" applyFont="1"/>
    <xf numFmtId="167" fontId="0" fillId="0" borderId="0" xfId="0" applyNumberFormat="1"/>
    <xf numFmtId="38" fontId="2" fillId="0" borderId="1" xfId="0" applyNumberFormat="1" applyFont="1" applyBorder="1" applyAlignment="1">
      <alignment horizontal="center"/>
    </xf>
    <xf numFmtId="38" fontId="0" fillId="0" borderId="1" xfId="0" applyNumberFormat="1" applyBorder="1"/>
    <xf numFmtId="38" fontId="2" fillId="0" borderId="1" xfId="0" applyNumberFormat="1" applyFont="1" applyBorder="1"/>
    <xf numFmtId="38" fontId="0" fillId="0" borderId="0" xfId="0" applyNumberFormat="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7" fillId="0" borderId="0" xfId="2" applyFont="1" applyAlignment="1">
      <alignment horizontal="right" vertical="top" wrapText="1"/>
    </xf>
  </cellXfs>
  <cellStyles count="4">
    <cellStyle name="2021 Summer" xfId="2" xr:uid="{7B130801-AFBE-427D-BEE1-6960102391DB}"/>
    <cellStyle name="Comma" xfId="1" builtinId="3"/>
    <cellStyle name="Normal" xfId="0" builtinId="0"/>
    <cellStyle name="Percent 2" xfId="3" xr:uid="{7AE12880-1C77-43BC-90BB-946A6641D267}"/>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Con</a:t>
            </a:r>
            <a:r>
              <a:rPr lang="en-US" baseline="0"/>
              <a:t>sumer Purchases By Sport</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1"/>
          <c:order val="1"/>
          <c:tx>
            <c:strRef>
              <c:f>'Pie Of Pie'!$C$2</c:f>
              <c:strCache>
                <c:ptCount val="1"/>
                <c:pt idx="0">
                  <c:v>2024</c:v>
                </c:pt>
              </c:strCache>
            </c:strRef>
          </c:tx>
          <c:dPt>
            <c:idx val="0"/>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4-1006-45EA-90F1-70944E5696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42-4599-BD55-59D33E2D1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42-4599-BD55-59D33E2D1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42-4599-BD55-59D33E2D18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42-4599-BD55-59D33E2D18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1006-45EA-90F1-70944E5696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42-4599-BD55-59D33E2D18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B-1006-45EA-90F1-70944E5696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1006-45EA-90F1-70944E5696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1006-45EA-90F1-70944E56960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1006-45EA-90F1-70944E56960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A42-4599-BD55-59D33E2D18F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A42-4599-BD55-59D33E2D18F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A42-4599-BD55-59D33E2D18F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A42-4599-BD55-59D33E2D18F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A42-4599-BD55-59D33E2D18F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A42-4599-BD55-59D33E2D18F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A42-4599-BD55-59D33E2D18F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07-1006-45EA-90F1-70944E56960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A42-4599-BD55-59D33E2D18F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A42-4599-BD55-59D33E2D18F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A42-4599-BD55-59D33E2D18F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A42-4599-BD55-59D33E2D18F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06-1006-45EA-90F1-70944E569608}"/>
              </c:ext>
            </c:extLst>
          </c:dPt>
          <c:dLbls>
            <c:dLbl>
              <c:idx val="7"/>
              <c:layout>
                <c:manualLayout>
                  <c:x val="-5.876000496009227E-17"/>
                  <c:y val="1.603665521191294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06-45EA-90F1-70944E569608}"/>
                </c:ext>
              </c:extLst>
            </c:dLbl>
            <c:dLbl>
              <c:idx val="8"/>
              <c:layout>
                <c:manualLayout>
                  <c:x val="2.7243589743589744E-2"/>
                  <c:y val="-2.290950744558996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06-45EA-90F1-70944E569608}"/>
                </c:ext>
              </c:extLst>
            </c:dLbl>
            <c:dLbl>
              <c:idx val="9"/>
              <c:layout>
                <c:manualLayout>
                  <c:x val="0.11538461538461532"/>
                  <c:y val="-1.60366552119129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06-45EA-90F1-70944E569608}"/>
                </c:ext>
              </c:extLst>
            </c:dLbl>
            <c:dLbl>
              <c:idx val="10"/>
              <c:layout>
                <c:manualLayout>
                  <c:x val="0"/>
                  <c:y val="6.8728522336769342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06-45EA-90F1-70944E569608}"/>
                </c:ext>
              </c:extLst>
            </c:dLbl>
            <c:dLbl>
              <c:idx val="18"/>
              <c:layout>
                <c:manualLayout>
                  <c:x val="3.0448717948717948E-2"/>
                  <c:y val="-1.83276059564719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06-45EA-90F1-70944E569608}"/>
                </c:ext>
              </c:extLst>
            </c:dLbl>
            <c:dLbl>
              <c:idx val="23"/>
              <c:layout>
                <c:manualLayout>
                  <c:x val="0"/>
                  <c:y val="2.978235967926689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06-45EA-90F1-70944E5696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'Pie Of Pie'!$A$3:$A$25</c:f>
              <c:strCache>
                <c:ptCount val="23"/>
                <c:pt idx="0">
                  <c:v>Exercise</c:v>
                </c:pt>
                <c:pt idx="1">
                  <c:v>Golf</c:v>
                </c:pt>
                <c:pt idx="2">
                  <c:v>Team Goods</c:v>
                </c:pt>
                <c:pt idx="3">
                  <c:v>Fishing Tackle</c:v>
                </c:pt>
                <c:pt idx="4">
                  <c:v>Camping</c:v>
                </c:pt>
                <c:pt idx="5">
                  <c:v>Optics</c:v>
                </c:pt>
                <c:pt idx="6">
                  <c:v>Billiards &amp; Indoor Games</c:v>
                </c:pt>
                <c:pt idx="7">
                  <c:v>Skiing, Downhill</c:v>
                </c:pt>
                <c:pt idx="8">
                  <c:v>Wheel Sports &amp; Pogo Sticks</c:v>
                </c:pt>
                <c:pt idx="9">
                  <c:v>Tennis</c:v>
                </c:pt>
                <c:pt idx="10">
                  <c:v>Skin Diving &amp; Scuba Gear</c:v>
                </c:pt>
                <c:pt idx="11">
                  <c:v>Basketball</c:v>
                </c:pt>
                <c:pt idx="12">
                  <c:v>Baseball &amp; Softball</c:v>
                </c:pt>
                <c:pt idx="13">
                  <c:v>Archery</c:v>
                </c:pt>
                <c:pt idx="14">
                  <c:v>Skiing, Snowboards</c:v>
                </c:pt>
                <c:pt idx="15">
                  <c:v>Bowling</c:v>
                </c:pt>
                <c:pt idx="16">
                  <c:v>Hockey &amp; Ice Skates</c:v>
                </c:pt>
                <c:pt idx="17">
                  <c:v>Football</c:v>
                </c:pt>
                <c:pt idx="18">
                  <c:v>Soccer Balls</c:v>
                </c:pt>
                <c:pt idx="19">
                  <c:v>Water Skis</c:v>
                </c:pt>
                <c:pt idx="20">
                  <c:v>Skiing, Cross-Country</c:v>
                </c:pt>
                <c:pt idx="21">
                  <c:v>Volleyball &amp; Badminton Sets</c:v>
                </c:pt>
                <c:pt idx="22">
                  <c:v>Hurling</c:v>
                </c:pt>
              </c:strCache>
            </c:strRef>
          </c:cat>
          <c:val>
            <c:numRef>
              <c:f>'Pie Of Pie'!$C$3:$C$25</c:f>
              <c:numCache>
                <c:formatCode>_(* #,##0.00_);_(* \(#,##0.00\);_(* "-"??_);_(@_)</c:formatCode>
                <c:ptCount val="23"/>
                <c:pt idx="0" formatCode="&quot;$&quot;#,##0.00_);[Red]\(&quot;$&quot;#,##0.00\)">
                  <c:v>5066.3286956521733</c:v>
                </c:pt>
                <c:pt idx="1">
                  <c:v>3790.8486956521742</c:v>
                </c:pt>
                <c:pt idx="2">
                  <c:v>2909.568695652174</c:v>
                </c:pt>
                <c:pt idx="3">
                  <c:v>2339.3286956521738</c:v>
                </c:pt>
                <c:pt idx="4">
                  <c:v>1723.7286956521739</c:v>
                </c:pt>
                <c:pt idx="5">
                  <c:v>1067.0886956521738</c:v>
                </c:pt>
                <c:pt idx="6">
                  <c:v>752.80869565217392</c:v>
                </c:pt>
                <c:pt idx="7">
                  <c:v>731.2086956521739</c:v>
                </c:pt>
                <c:pt idx="8">
                  <c:v>655.60869565217388</c:v>
                </c:pt>
                <c:pt idx="9">
                  <c:v>582.16869565217382</c:v>
                </c:pt>
                <c:pt idx="10">
                  <c:v>513.04869565217382</c:v>
                </c:pt>
                <c:pt idx="11">
                  <c:v>501.16869565217382</c:v>
                </c:pt>
                <c:pt idx="12">
                  <c:v>489.28869565217383</c:v>
                </c:pt>
                <c:pt idx="13">
                  <c:v>456.88869565217385</c:v>
                </c:pt>
                <c:pt idx="14">
                  <c:v>421.24869565217386</c:v>
                </c:pt>
                <c:pt idx="15">
                  <c:v>341.32869565217391</c:v>
                </c:pt>
                <c:pt idx="16">
                  <c:v>332.68869565217386</c:v>
                </c:pt>
                <c:pt idx="17">
                  <c:v>241.96869565217384</c:v>
                </c:pt>
                <c:pt idx="18">
                  <c:v>220.36869565217387</c:v>
                </c:pt>
                <c:pt idx="19">
                  <c:v>213.89</c:v>
                </c:pt>
                <c:pt idx="20">
                  <c:v>190.12869565217386</c:v>
                </c:pt>
                <c:pt idx="21">
                  <c:v>184.72869565217388</c:v>
                </c:pt>
                <c:pt idx="22">
                  <c:v>178.33999999999997</c:v>
                </c:pt>
              </c:numCache>
            </c:numRef>
          </c:val>
          <c:extLst>
            <c:ext xmlns:c16="http://schemas.microsoft.com/office/drawing/2014/chart" uri="{C3380CC4-5D6E-409C-BE32-E72D297353CC}">
              <c16:uniqueId val="{00000001-1006-45EA-90F1-70944E569608}"/>
            </c:ext>
          </c:extLst>
        </c:ser>
        <c:dLbls>
          <c:dLblPos val="outEnd"/>
          <c:showLegendKey val="0"/>
          <c:showVal val="1"/>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extLst>
          <c:ext xmlns:c15="http://schemas.microsoft.com/office/drawing/2012/chart" uri="{02D57815-91ED-43cb-92C2-25804820EDAC}">
            <c15:filteredPieSeries>
              <c15:ser>
                <c:idx val="0"/>
                <c:order val="0"/>
                <c:tx>
                  <c:strRef>
                    <c:extLst>
                      <c:ext uri="{02D57815-91ED-43cb-92C2-25804820EDAC}">
                        <c15:formulaRef>
                          <c15:sqref>'Pie Of Pie'!$B$2</c15:sqref>
                        </c15:formulaRef>
                      </c:ext>
                    </c:extLst>
                    <c:strCache>
                      <c:ptCount val="1"/>
                      <c:pt idx="0">
                        <c:v>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EA42-4599-BD55-59D33E2D1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EA42-4599-BD55-59D33E2D1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EA42-4599-BD55-59D33E2D1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EA42-4599-BD55-59D33E2D18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EA42-4599-BD55-59D33E2D18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EA42-4599-BD55-59D33E2D18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EA42-4599-BD55-59D33E2D18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F-EA42-4599-BD55-59D33E2D18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1-EA42-4599-BD55-59D33E2D18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3-EA42-4599-BD55-59D33E2D18F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5-EA42-4599-BD55-59D33E2D18F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7-EA42-4599-BD55-59D33E2D18F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9-EA42-4599-BD55-59D33E2D18F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B-EA42-4599-BD55-59D33E2D18F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D-EA42-4599-BD55-59D33E2D18F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F-EA42-4599-BD55-59D33E2D18F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1-EA42-4599-BD55-59D33E2D18F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3-EA42-4599-BD55-59D33E2D18F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5-EA42-4599-BD55-59D33E2D18F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7-EA42-4599-BD55-59D33E2D18F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9-EA42-4599-BD55-59D33E2D18F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B-EA42-4599-BD55-59D33E2D18F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D-EA42-4599-BD55-59D33E2D18F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5F-EA42-4599-BD55-59D33E2D18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'Pie Of Pie'!$A$3:$A$25</c15:sqref>
                        </c15:formulaRef>
                      </c:ext>
                    </c:extLst>
                    <c:strCache>
                      <c:ptCount val="23"/>
                      <c:pt idx="0">
                        <c:v>Exercise</c:v>
                      </c:pt>
                      <c:pt idx="1">
                        <c:v>Golf</c:v>
                      </c:pt>
                      <c:pt idx="2">
                        <c:v>Team Goods</c:v>
                      </c:pt>
                      <c:pt idx="3">
                        <c:v>Fishing Tackle</c:v>
                      </c:pt>
                      <c:pt idx="4">
                        <c:v>Camping</c:v>
                      </c:pt>
                      <c:pt idx="5">
                        <c:v>Optics</c:v>
                      </c:pt>
                      <c:pt idx="6">
                        <c:v>Billiards &amp; Indoor Games</c:v>
                      </c:pt>
                      <c:pt idx="7">
                        <c:v>Skiing, Downhill</c:v>
                      </c:pt>
                      <c:pt idx="8">
                        <c:v>Wheel Sports &amp; Pogo Sticks</c:v>
                      </c:pt>
                      <c:pt idx="9">
                        <c:v>Tennis</c:v>
                      </c:pt>
                      <c:pt idx="10">
                        <c:v>Skin Diving &amp; Scuba Gear</c:v>
                      </c:pt>
                      <c:pt idx="11">
                        <c:v>Basketball</c:v>
                      </c:pt>
                      <c:pt idx="12">
                        <c:v>Baseball &amp; Softball</c:v>
                      </c:pt>
                      <c:pt idx="13">
                        <c:v>Archery</c:v>
                      </c:pt>
                      <c:pt idx="14">
                        <c:v>Skiing, Snowboards</c:v>
                      </c:pt>
                      <c:pt idx="15">
                        <c:v>Bowling</c:v>
                      </c:pt>
                      <c:pt idx="16">
                        <c:v>Hockey &amp; Ice Skates</c:v>
                      </c:pt>
                      <c:pt idx="17">
                        <c:v>Football</c:v>
                      </c:pt>
                      <c:pt idx="18">
                        <c:v>Soccer Balls</c:v>
                      </c:pt>
                      <c:pt idx="19">
                        <c:v>Water Skis</c:v>
                      </c:pt>
                      <c:pt idx="20">
                        <c:v>Skiing, Cross-Country</c:v>
                      </c:pt>
                      <c:pt idx="21">
                        <c:v>Volleyball &amp; Badminton Sets</c:v>
                      </c:pt>
                      <c:pt idx="22">
                        <c:v>Hurling</c:v>
                      </c:pt>
                    </c:strCache>
                  </c:strRef>
                </c:cat>
                <c:val>
                  <c:numRef>
                    <c:extLst>
                      <c:ext uri="{02D57815-91ED-43cb-92C2-25804820EDAC}">
                        <c15:formulaRef>
                          <c15:sqref>'Pie Of Pie'!$B$3:$B$25</c15:sqref>
                        </c15:formulaRef>
                      </c:ext>
                    </c:extLst>
                    <c:numCache>
                      <c:formatCode>_(* #,##0.00_);_(* \(#,##0.00\);_(* "-"??_);_(@_)</c:formatCode>
                      <c:ptCount val="23"/>
                      <c:pt idx="0" formatCode="&quot;$&quot;#,##0.00_);[Red]\(&quot;$&quot;#,##0.00\)">
                        <c:v>5381.7612173913039</c:v>
                      </c:pt>
                      <c:pt idx="1">
                        <c:v>4029.7524173913048</c:v>
                      </c:pt>
                      <c:pt idx="2">
                        <c:v>3095.5956173913046</c:v>
                      </c:pt>
                      <c:pt idx="3">
                        <c:v>2491.1412173913045</c:v>
                      </c:pt>
                      <c:pt idx="4">
                        <c:v>1838.6052173913044</c:v>
                      </c:pt>
                      <c:pt idx="5">
                        <c:v>1142.5668173913043</c:v>
                      </c:pt>
                      <c:pt idx="6">
                        <c:v>809.43001739130443</c:v>
                      </c:pt>
                      <c:pt idx="7">
                        <c:v>786.53401739130436</c:v>
                      </c:pt>
                      <c:pt idx="8">
                        <c:v>706.39801739130439</c:v>
                      </c:pt>
                      <c:pt idx="9">
                        <c:v>628.55161739130426</c:v>
                      </c:pt>
                      <c:pt idx="10">
                        <c:v>555.28441739130426</c:v>
                      </c:pt>
                      <c:pt idx="11">
                        <c:v>542.69161739130425</c:v>
                      </c:pt>
                      <c:pt idx="12">
                        <c:v>530.09881739130435</c:v>
                      </c:pt>
                      <c:pt idx="13">
                        <c:v>495.7548173913043</c:v>
                      </c:pt>
                      <c:pt idx="14">
                        <c:v>457.97641739130432</c:v>
                      </c:pt>
                      <c:pt idx="15">
                        <c:v>373.26121739130434</c:v>
                      </c:pt>
                      <c:pt idx="16">
                        <c:v>364.10281739130431</c:v>
                      </c:pt>
                      <c:pt idx="17">
                        <c:v>267.9396173913043</c:v>
                      </c:pt>
                      <c:pt idx="18">
                        <c:v>245.04361739130428</c:v>
                      </c:pt>
                      <c:pt idx="19">
                        <c:v>238.17619999999999</c:v>
                      </c:pt>
                      <c:pt idx="20">
                        <c:v>212.98921739130429</c:v>
                      </c:pt>
                      <c:pt idx="21">
                        <c:v>207.2652173913043</c:v>
                      </c:pt>
                      <c:pt idx="22">
                        <c:v>200.4932</c:v>
                      </c:pt>
                    </c:numCache>
                  </c:numRef>
                </c:val>
                <c:extLst>
                  <c:ext xmlns:c16="http://schemas.microsoft.com/office/drawing/2014/chart" uri="{C3380CC4-5D6E-409C-BE32-E72D297353CC}">
                    <c16:uniqueId val="{00000000-1006-45EA-90F1-70944E569608}"/>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'Pie Of Pie'!$D$2</c15:sqref>
                        </c15:formulaRef>
                      </c:ext>
                    </c:extLst>
                    <c:strCache>
                      <c:ptCount val="1"/>
                      <c:pt idx="0">
                        <c:v>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1-EA42-4599-BD55-59D33E2D1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3-EA42-4599-BD55-59D33E2D1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5-EA42-4599-BD55-59D33E2D1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7-EA42-4599-BD55-59D33E2D18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9-EA42-4599-BD55-59D33E2D18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B-EA42-4599-BD55-59D33E2D18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D-EA42-4599-BD55-59D33E2D18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F-EA42-4599-BD55-59D33E2D18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1-EA42-4599-BD55-59D33E2D18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3-EA42-4599-BD55-59D33E2D18F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5-EA42-4599-BD55-59D33E2D18F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7-EA42-4599-BD55-59D33E2D18F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9-EA42-4599-BD55-59D33E2D18F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B-EA42-4599-BD55-59D33E2D18F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D-EA42-4599-BD55-59D33E2D18F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F-EA42-4599-BD55-59D33E2D18F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1-EA42-4599-BD55-59D33E2D18F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3-EA42-4599-BD55-59D33E2D18F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5-EA42-4599-BD55-59D33E2D18F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87-EA42-4599-BD55-59D33E2D18F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9-EA42-4599-BD55-59D33E2D18F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8B-EA42-4599-BD55-59D33E2D18F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8D-EA42-4599-BD55-59D33E2D18F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8F-EA42-4599-BD55-59D33E2D18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'Pie Of Pie'!$A$3:$A$25</c15:sqref>
                        </c15:formulaRef>
                      </c:ext>
                    </c:extLst>
                    <c:strCache>
                      <c:ptCount val="23"/>
                      <c:pt idx="0">
                        <c:v>Exercise</c:v>
                      </c:pt>
                      <c:pt idx="1">
                        <c:v>Golf</c:v>
                      </c:pt>
                      <c:pt idx="2">
                        <c:v>Team Goods</c:v>
                      </c:pt>
                      <c:pt idx="3">
                        <c:v>Fishing Tackle</c:v>
                      </c:pt>
                      <c:pt idx="4">
                        <c:v>Camping</c:v>
                      </c:pt>
                      <c:pt idx="5">
                        <c:v>Optics</c:v>
                      </c:pt>
                      <c:pt idx="6">
                        <c:v>Billiards &amp; Indoor Games</c:v>
                      </c:pt>
                      <c:pt idx="7">
                        <c:v>Skiing, Downhill</c:v>
                      </c:pt>
                      <c:pt idx="8">
                        <c:v>Wheel Sports &amp; Pogo Sticks</c:v>
                      </c:pt>
                      <c:pt idx="9">
                        <c:v>Tennis</c:v>
                      </c:pt>
                      <c:pt idx="10">
                        <c:v>Skin Diving &amp; Scuba Gear</c:v>
                      </c:pt>
                      <c:pt idx="11">
                        <c:v>Basketball</c:v>
                      </c:pt>
                      <c:pt idx="12">
                        <c:v>Baseball &amp; Softball</c:v>
                      </c:pt>
                      <c:pt idx="13">
                        <c:v>Archery</c:v>
                      </c:pt>
                      <c:pt idx="14">
                        <c:v>Skiing, Snowboards</c:v>
                      </c:pt>
                      <c:pt idx="15">
                        <c:v>Bowling</c:v>
                      </c:pt>
                      <c:pt idx="16">
                        <c:v>Hockey &amp; Ice Skates</c:v>
                      </c:pt>
                      <c:pt idx="17">
                        <c:v>Football</c:v>
                      </c:pt>
                      <c:pt idx="18">
                        <c:v>Soccer Balls</c:v>
                      </c:pt>
                      <c:pt idx="19">
                        <c:v>Water Skis</c:v>
                      </c:pt>
                      <c:pt idx="20">
                        <c:v>Skiing, Cross-Country</c:v>
                      </c:pt>
                      <c:pt idx="21">
                        <c:v>Volleyball &amp; Badminton Sets</c:v>
                      </c:pt>
                      <c:pt idx="22">
                        <c:v>Hurling</c:v>
                      </c:pt>
                    </c:strCache>
                  </c:strRef>
                </c:cat>
                <c:val>
                  <c:numRef>
                    <c:extLst xmlns:c15="http://schemas.microsoft.com/office/drawing/2012/chart">
                      <c:ext xmlns:c15="http://schemas.microsoft.com/office/drawing/2012/chart" uri="{02D57815-91ED-43cb-92C2-25804820EDAC}">
                        <c15:formulaRef>
                          <c15:sqref>'Pie Of Pie'!$D$3:$D$25</c15:sqref>
                        </c15:formulaRef>
                      </c:ext>
                    </c:extLst>
                    <c:numCache>
                      <c:formatCode>_(* #,##0.00_);_(* \(#,##0.00\);_(* "-"??_);_(@_)</c:formatCode>
                      <c:ptCount val="23"/>
                      <c:pt idx="0" formatCode="&quot;$&quot;#,##0.00_);[Red]\(&quot;$&quot;#,##0.00\)">
                        <c:v>4954.7015297391299</c:v>
                      </c:pt>
                      <c:pt idx="1">
                        <c:v>3848.5362617391311</c:v>
                      </c:pt>
                      <c:pt idx="2">
                        <c:v>2952.0022337391306</c:v>
                      </c:pt>
                      <c:pt idx="3">
                        <c:v>2394.6581137391308</c:v>
                      </c:pt>
                      <c:pt idx="4">
                        <c:v>1719.7342537391303</c:v>
                      </c:pt>
                      <c:pt idx="5">
                        <c:v>1066.1062657391303</c:v>
                      </c:pt>
                      <c:pt idx="6">
                        <c:v>752.65764973913053</c:v>
                      </c:pt>
                      <c:pt idx="7">
                        <c:v>736.2420817391303</c:v>
                      </c:pt>
                      <c:pt idx="8" formatCode="0.00">
                        <c:v>701.64331373913035</c:v>
                      </c:pt>
                      <c:pt idx="9" formatCode="0.00">
                        <c:v>594.05479373913045</c:v>
                      </c:pt>
                      <c:pt idx="10" formatCode="0.00">
                        <c:v>521.18298173913047</c:v>
                      </c:pt>
                      <c:pt idx="11" formatCode="0.00">
                        <c:v>512.19878573913047</c:v>
                      </c:pt>
                      <c:pt idx="12">
                        <c:v>489.45398173913048</c:v>
                      </c:pt>
                      <c:pt idx="13">
                        <c:v>456.84467773913047</c:v>
                      </c:pt>
                      <c:pt idx="14">
                        <c:v>421.79522173913045</c:v>
                      </c:pt>
                      <c:pt idx="15">
                        <c:v>341.60295373913044</c:v>
                      </c:pt>
                      <c:pt idx="16">
                        <c:v>333.61700173913044</c:v>
                      </c:pt>
                      <c:pt idx="17">
                        <c:v>249.98633773913042</c:v>
                      </c:pt>
                      <c:pt idx="18">
                        <c:v>219.48443773913044</c:v>
                      </c:pt>
                      <c:pt idx="19">
                        <c:v>215.04779773913043</c:v>
                      </c:pt>
                      <c:pt idx="20">
                        <c:v>191.53360573913045</c:v>
                      </c:pt>
                      <c:pt idx="21">
                        <c:v>185.98780573913047</c:v>
                      </c:pt>
                      <c:pt idx="22">
                        <c:v>181.88391373913043</c:v>
                      </c:pt>
                    </c:numCache>
                  </c:numRef>
                </c:val>
                <c:extLst xmlns:c15="http://schemas.microsoft.com/office/drawing/2012/chart">
                  <c:ext xmlns:c16="http://schemas.microsoft.com/office/drawing/2014/chart" uri="{C3380CC4-5D6E-409C-BE32-E72D297353CC}">
                    <c16:uniqueId val="{00000002-1006-45EA-90F1-70944E569608}"/>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'Pie Of Pie'!$E$2</c15:sqref>
                        </c15:formulaRef>
                      </c:ext>
                    </c:extLst>
                    <c:strCache>
                      <c:ptCount val="1"/>
                      <c:pt idx="0">
                        <c:v>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1-EA42-4599-BD55-59D33E2D1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3-EA42-4599-BD55-59D33E2D1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5-EA42-4599-BD55-59D33E2D1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7-EA42-4599-BD55-59D33E2D18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9-EA42-4599-BD55-59D33E2D18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B-EA42-4599-BD55-59D33E2D18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D-EA42-4599-BD55-59D33E2D18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F-EA42-4599-BD55-59D33E2D18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A1-EA42-4599-BD55-59D33E2D18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A3-EA42-4599-BD55-59D33E2D18F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5-EA42-4599-BD55-59D33E2D18F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A7-EA42-4599-BD55-59D33E2D18F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A9-EA42-4599-BD55-59D33E2D18F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AB-EA42-4599-BD55-59D33E2D18F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AD-EA42-4599-BD55-59D33E2D18F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AF-EA42-4599-BD55-59D33E2D18F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B1-EA42-4599-BD55-59D33E2D18F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B3-EA42-4599-BD55-59D33E2D18F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B5-EA42-4599-BD55-59D33E2D18F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B7-EA42-4599-BD55-59D33E2D18F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B9-EA42-4599-BD55-59D33E2D18F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BB-EA42-4599-BD55-59D33E2D18F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BD-EA42-4599-BD55-59D33E2D18F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BF-EA42-4599-BD55-59D33E2D18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'Pie Of Pie'!$A$3:$A$25</c15:sqref>
                        </c15:formulaRef>
                      </c:ext>
                    </c:extLst>
                    <c:strCache>
                      <c:ptCount val="23"/>
                      <c:pt idx="0">
                        <c:v>Exercise</c:v>
                      </c:pt>
                      <c:pt idx="1">
                        <c:v>Golf</c:v>
                      </c:pt>
                      <c:pt idx="2">
                        <c:v>Team Goods</c:v>
                      </c:pt>
                      <c:pt idx="3">
                        <c:v>Fishing Tackle</c:v>
                      </c:pt>
                      <c:pt idx="4">
                        <c:v>Camping</c:v>
                      </c:pt>
                      <c:pt idx="5">
                        <c:v>Optics</c:v>
                      </c:pt>
                      <c:pt idx="6">
                        <c:v>Billiards &amp; Indoor Games</c:v>
                      </c:pt>
                      <c:pt idx="7">
                        <c:v>Skiing, Downhill</c:v>
                      </c:pt>
                      <c:pt idx="8">
                        <c:v>Wheel Sports &amp; Pogo Sticks</c:v>
                      </c:pt>
                      <c:pt idx="9">
                        <c:v>Tennis</c:v>
                      </c:pt>
                      <c:pt idx="10">
                        <c:v>Skin Diving &amp; Scuba Gear</c:v>
                      </c:pt>
                      <c:pt idx="11">
                        <c:v>Basketball</c:v>
                      </c:pt>
                      <c:pt idx="12">
                        <c:v>Baseball &amp; Softball</c:v>
                      </c:pt>
                      <c:pt idx="13">
                        <c:v>Archery</c:v>
                      </c:pt>
                      <c:pt idx="14">
                        <c:v>Skiing, Snowboards</c:v>
                      </c:pt>
                      <c:pt idx="15">
                        <c:v>Bowling</c:v>
                      </c:pt>
                      <c:pt idx="16">
                        <c:v>Hockey &amp; Ice Skates</c:v>
                      </c:pt>
                      <c:pt idx="17">
                        <c:v>Football</c:v>
                      </c:pt>
                      <c:pt idx="18">
                        <c:v>Soccer Balls</c:v>
                      </c:pt>
                      <c:pt idx="19">
                        <c:v>Water Skis</c:v>
                      </c:pt>
                      <c:pt idx="20">
                        <c:v>Skiing, Cross-Country</c:v>
                      </c:pt>
                      <c:pt idx="21">
                        <c:v>Volleyball &amp; Badminton Sets</c:v>
                      </c:pt>
                      <c:pt idx="22">
                        <c:v>Hurling</c:v>
                      </c:pt>
                    </c:strCache>
                  </c:strRef>
                </c:cat>
                <c:val>
                  <c:numRef>
                    <c:extLst xmlns:c15="http://schemas.microsoft.com/office/drawing/2012/chart">
                      <c:ext xmlns:c15="http://schemas.microsoft.com/office/drawing/2012/chart" uri="{02D57815-91ED-43cb-92C2-25804820EDAC}">
                        <c15:formulaRef>
                          <c15:sqref>'Pie Of Pie'!$E$3:$E$25</c15:sqref>
                        </c15:formulaRef>
                      </c:ext>
                    </c:extLst>
                    <c:numCache>
                      <c:formatCode>_(* #,##0.00_);_(* \(#,##0.00\);_(* "-"??_);_(@_)</c:formatCode>
                      <c:ptCount val="23"/>
                      <c:pt idx="0" formatCode="&quot;$&quot;#,##0.00_);[Red]\(&quot;$&quot;#,##0.00\)">
                        <c:v>4474.2257182608691</c:v>
                      </c:pt>
                      <c:pt idx="1">
                        <c:v>4455.367326260869</c:v>
                      </c:pt>
                      <c:pt idx="2">
                        <c:v>2930.4030862608702</c:v>
                      </c:pt>
                      <c:pt idx="3">
                        <c:v>2432.3773142608698</c:v>
                      </c:pt>
                      <c:pt idx="4">
                        <c:v>1664.5979422608693</c:v>
                      </c:pt>
                      <c:pt idx="5">
                        <c:v>1009.4900582608695</c:v>
                      </c:pt>
                      <c:pt idx="6">
                        <c:v>724.00185826086954</c:v>
                      </c:pt>
                      <c:pt idx="7">
                        <c:v>710.16384626086949</c:v>
                      </c:pt>
                      <c:pt idx="8">
                        <c:v>945.56796226086942</c:v>
                      </c:pt>
                      <c:pt idx="9">
                        <c:v>550.06950626086962</c:v>
                      </c:pt>
                      <c:pt idx="10">
                        <c:v>523.74447826086953</c:v>
                      </c:pt>
                      <c:pt idx="11">
                        <c:v>471.42</c:v>
                      </c:pt>
                      <c:pt idx="12">
                        <c:v>488.04399826086956</c:v>
                      </c:pt>
                      <c:pt idx="13">
                        <c:v>443.63745026086957</c:v>
                      </c:pt>
                      <c:pt idx="14">
                        <c:v>407.60635426086952</c:v>
                      </c:pt>
                      <c:pt idx="15">
                        <c:v>323.14833026086956</c:v>
                      </c:pt>
                      <c:pt idx="16">
                        <c:v>303.51714226086955</c:v>
                      </c:pt>
                      <c:pt idx="17">
                        <c:v>235.68215426086954</c:v>
                      </c:pt>
                      <c:pt idx="18">
                        <c:v>211.3652782608695</c:v>
                      </c:pt>
                      <c:pt idx="19">
                        <c:v>202.10139026086955</c:v>
                      </c:pt>
                      <c:pt idx="20">
                        <c:v>176.66887426086953</c:v>
                      </c:pt>
                      <c:pt idx="21">
                        <c:v>172.09067426086955</c:v>
                      </c:pt>
                      <c:pt idx="22">
                        <c:v>167.07437026086956</c:v>
                      </c:pt>
                    </c:numCache>
                  </c:numRef>
                </c:val>
                <c:extLst xmlns:c15="http://schemas.microsoft.com/office/drawing/2012/chart">
                  <c:ext xmlns:c16="http://schemas.microsoft.com/office/drawing/2014/chart" uri="{C3380CC4-5D6E-409C-BE32-E72D297353CC}">
                    <c16:uniqueId val="{00000003-1006-45EA-90F1-70944E569608}"/>
                  </c:ext>
                </c:extLst>
              </c15:ser>
            </c15:filteredPieSeries>
          </c:ext>
        </c:extLst>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Footwear</a:t>
            </a:r>
            <a:r>
              <a:rPr lang="en-US" baseline="0"/>
              <a:t> Clustered Column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'Footware Purchases'!$B$4</c:f>
              <c:strCache>
                <c:ptCount val="1"/>
                <c:pt idx="0">
                  <c:v>US Population</c:v>
                </c:pt>
              </c:strCache>
            </c:strRef>
          </c:tx>
          <c:spPr>
            <a:solidFill>
              <a:schemeClr val="accent1"/>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Purchases'!$B$5:$B$11</c:f>
              <c:numCache>
                <c:formatCode>0.00%</c:formatCode>
                <c:ptCount val="7"/>
                <c:pt idx="0">
                  <c:v>0.19800000000000001</c:v>
                </c:pt>
                <c:pt idx="1">
                  <c:v>5.7000000000000002E-2</c:v>
                </c:pt>
                <c:pt idx="2">
                  <c:v>9.7000000000000003E-2</c:v>
                </c:pt>
                <c:pt idx="3">
                  <c:v>0.13500000000000001</c:v>
                </c:pt>
                <c:pt idx="4">
                  <c:v>0.16200000000000001</c:v>
                </c:pt>
                <c:pt idx="5">
                  <c:v>0.224</c:v>
                </c:pt>
                <c:pt idx="6">
                  <c:v>0.127</c:v>
                </c:pt>
              </c:numCache>
            </c:numRef>
          </c:val>
          <c:extLst>
            <c:ext xmlns:c16="http://schemas.microsoft.com/office/drawing/2014/chart" uri="{C3380CC4-5D6E-409C-BE32-E72D297353CC}">
              <c16:uniqueId val="{00000000-007A-4F82-A9FA-82F0B18D1319}"/>
            </c:ext>
          </c:extLst>
        </c:ser>
        <c:ser>
          <c:idx val="1"/>
          <c:order val="1"/>
          <c:spPr>
            <a:solidFill>
              <a:schemeClr val="accent2"/>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Purchases'!$C$5:$C$11</c:f>
              <c:numCache>
                <c:formatCode>0.00%</c:formatCode>
                <c:ptCount val="7"/>
                <c:pt idx="0">
                  <c:v>0.32</c:v>
                </c:pt>
                <c:pt idx="1">
                  <c:v>0.06</c:v>
                </c:pt>
                <c:pt idx="2">
                  <c:v>7.0000000000000007E-2</c:v>
                </c:pt>
                <c:pt idx="3">
                  <c:v>0.11</c:v>
                </c:pt>
                <c:pt idx="4">
                  <c:v>0.12</c:v>
                </c:pt>
                <c:pt idx="5">
                  <c:v>0.22</c:v>
                </c:pt>
                <c:pt idx="6">
                  <c:v>0.1</c:v>
                </c:pt>
              </c:numCache>
            </c:numRef>
          </c:val>
          <c:extLst>
            <c:ext xmlns:c16="http://schemas.microsoft.com/office/drawing/2014/chart" uri="{C3380CC4-5D6E-409C-BE32-E72D297353CC}">
              <c16:uniqueId val="{00000001-007A-4F82-A9FA-82F0B18D1319}"/>
            </c:ext>
          </c:extLst>
        </c:ser>
        <c:ser>
          <c:idx val="2"/>
          <c:order val="2"/>
          <c:spPr>
            <a:solidFill>
              <a:schemeClr val="accent3"/>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Purchases'!$D$5:$D$11</c:f>
              <c:numCache>
                <c:formatCode>0.00%</c:formatCode>
                <c:ptCount val="7"/>
                <c:pt idx="0">
                  <c:v>0.31</c:v>
                </c:pt>
                <c:pt idx="1">
                  <c:v>0.06</c:v>
                </c:pt>
                <c:pt idx="2">
                  <c:v>0.09</c:v>
                </c:pt>
                <c:pt idx="3">
                  <c:v>0.15</c:v>
                </c:pt>
                <c:pt idx="4">
                  <c:v>0.14000000000000001</c:v>
                </c:pt>
                <c:pt idx="5">
                  <c:v>0.19</c:v>
                </c:pt>
                <c:pt idx="6">
                  <c:v>0.06</c:v>
                </c:pt>
              </c:numCache>
            </c:numRef>
          </c:val>
          <c:extLst>
            <c:ext xmlns:c16="http://schemas.microsoft.com/office/drawing/2014/chart" uri="{C3380CC4-5D6E-409C-BE32-E72D297353CC}">
              <c16:uniqueId val="{00000002-007A-4F82-A9FA-82F0B18D1319}"/>
            </c:ext>
          </c:extLst>
        </c:ser>
        <c:ser>
          <c:idx val="3"/>
          <c:order val="3"/>
          <c:spPr>
            <a:solidFill>
              <a:schemeClr val="accent4"/>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Purchases'!$E$5:$E$11</c:f>
              <c:numCache>
                <c:formatCode>0.00%</c:formatCode>
                <c:ptCount val="7"/>
                <c:pt idx="0">
                  <c:v>0.27</c:v>
                </c:pt>
                <c:pt idx="1">
                  <c:v>0.06</c:v>
                </c:pt>
                <c:pt idx="2">
                  <c:v>0.08</c:v>
                </c:pt>
                <c:pt idx="3">
                  <c:v>0.12</c:v>
                </c:pt>
                <c:pt idx="4">
                  <c:v>0.15</c:v>
                </c:pt>
                <c:pt idx="5">
                  <c:v>0.23</c:v>
                </c:pt>
                <c:pt idx="6">
                  <c:v>0.09</c:v>
                </c:pt>
              </c:numCache>
            </c:numRef>
          </c:val>
          <c:extLst>
            <c:ext xmlns:c16="http://schemas.microsoft.com/office/drawing/2014/chart" uri="{C3380CC4-5D6E-409C-BE32-E72D297353CC}">
              <c16:uniqueId val="{00000003-007A-4F82-A9FA-82F0B18D1319}"/>
            </c:ext>
          </c:extLst>
        </c:ser>
        <c:ser>
          <c:idx val="4"/>
          <c:order val="4"/>
          <c:spPr>
            <a:solidFill>
              <a:schemeClr val="accent5"/>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Purchases'!$F$5:$F$11</c:f>
              <c:numCache>
                <c:formatCode>0.00%</c:formatCode>
                <c:ptCount val="7"/>
                <c:pt idx="0">
                  <c:v>0.28000000000000003</c:v>
                </c:pt>
                <c:pt idx="1">
                  <c:v>0.06</c:v>
                </c:pt>
                <c:pt idx="2">
                  <c:v>0.09</c:v>
                </c:pt>
                <c:pt idx="3">
                  <c:v>0.12</c:v>
                </c:pt>
                <c:pt idx="4">
                  <c:v>0.15</c:v>
                </c:pt>
                <c:pt idx="5">
                  <c:v>0.22</c:v>
                </c:pt>
                <c:pt idx="6">
                  <c:v>0.08</c:v>
                </c:pt>
              </c:numCache>
            </c:numRef>
          </c:val>
          <c:extLst>
            <c:ext xmlns:c16="http://schemas.microsoft.com/office/drawing/2014/chart" uri="{C3380CC4-5D6E-409C-BE32-E72D297353CC}">
              <c16:uniqueId val="{00000004-007A-4F82-A9FA-82F0B18D1319}"/>
            </c:ext>
          </c:extLst>
        </c:ser>
        <c:ser>
          <c:idx val="5"/>
          <c:order val="5"/>
          <c:spPr>
            <a:solidFill>
              <a:schemeClr val="accent6"/>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Purchases'!$G$5:$G$11</c:f>
              <c:numCache>
                <c:formatCode>0.00%</c:formatCode>
                <c:ptCount val="7"/>
                <c:pt idx="0">
                  <c:v>0.31</c:v>
                </c:pt>
                <c:pt idx="1">
                  <c:v>0.06</c:v>
                </c:pt>
                <c:pt idx="2">
                  <c:v>0.09</c:v>
                </c:pt>
                <c:pt idx="3">
                  <c:v>0.12</c:v>
                </c:pt>
                <c:pt idx="4">
                  <c:v>0.15</c:v>
                </c:pt>
                <c:pt idx="5">
                  <c:v>0.2</c:v>
                </c:pt>
                <c:pt idx="6">
                  <c:v>7.0000000000000007E-2</c:v>
                </c:pt>
              </c:numCache>
            </c:numRef>
          </c:val>
          <c:extLst>
            <c:ext xmlns:c16="http://schemas.microsoft.com/office/drawing/2014/chart" uri="{C3380CC4-5D6E-409C-BE32-E72D297353CC}">
              <c16:uniqueId val="{00000005-007A-4F82-A9FA-82F0B18D1319}"/>
            </c:ext>
          </c:extLst>
        </c:ser>
        <c:dLbls>
          <c:showLegendKey val="0"/>
          <c:showVal val="0"/>
          <c:showCatName val="0"/>
          <c:showSerName val="0"/>
          <c:showPercent val="0"/>
          <c:showBubbleSize val="0"/>
        </c:dLbls>
        <c:gapWidth val="219"/>
        <c:overlap val="-27"/>
        <c:axId val="1871068448"/>
        <c:axId val="1871086688"/>
      </c:barChart>
      <c:catAx>
        <c:axId val="18710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086688"/>
        <c:crosses val="autoZero"/>
        <c:auto val="1"/>
        <c:lblAlgn val="ctr"/>
        <c:lblOffset val="100"/>
        <c:noMultiLvlLbl val="0"/>
      </c:catAx>
      <c:valAx>
        <c:axId val="187108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06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Footwear</a:t>
            </a:r>
            <a:r>
              <a:rPr lang="en-US" baseline="0"/>
              <a:t> Stacked Column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'Footware Purchases'!$B$4</c:f>
              <c:strCache>
                <c:ptCount val="1"/>
                <c:pt idx="0">
                  <c:v>US Population</c:v>
                </c:pt>
              </c:strCache>
            </c:strRef>
          </c:tx>
          <c:spPr>
            <a:solidFill>
              <a:schemeClr val="accent1"/>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Purchases'!$B$5:$B$11</c:f>
              <c:numCache>
                <c:formatCode>0.00%</c:formatCode>
                <c:ptCount val="7"/>
                <c:pt idx="0">
                  <c:v>0.19800000000000001</c:v>
                </c:pt>
                <c:pt idx="1">
                  <c:v>5.7000000000000002E-2</c:v>
                </c:pt>
                <c:pt idx="2">
                  <c:v>9.7000000000000003E-2</c:v>
                </c:pt>
                <c:pt idx="3">
                  <c:v>0.13500000000000001</c:v>
                </c:pt>
                <c:pt idx="4">
                  <c:v>0.16200000000000001</c:v>
                </c:pt>
                <c:pt idx="5">
                  <c:v>0.224</c:v>
                </c:pt>
                <c:pt idx="6">
                  <c:v>0.127</c:v>
                </c:pt>
              </c:numCache>
            </c:numRef>
          </c:val>
          <c:extLst>
            <c:ext xmlns:c16="http://schemas.microsoft.com/office/drawing/2014/chart" uri="{C3380CC4-5D6E-409C-BE32-E72D297353CC}">
              <c16:uniqueId val="{00000000-1CEB-4864-B96F-CF6172963ECE}"/>
            </c:ext>
          </c:extLst>
        </c:ser>
        <c:ser>
          <c:idx val="1"/>
          <c:order val="1"/>
          <c:tx>
            <c:strRef>
              <c:f>'Footware Purchases'!$C$4</c:f>
              <c:strCache>
                <c:ptCount val="1"/>
                <c:pt idx="0">
                  <c:v>2025</c:v>
                </c:pt>
              </c:strCache>
            </c:strRef>
          </c:tx>
          <c:spPr>
            <a:solidFill>
              <a:schemeClr val="accent2"/>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Purchases'!$C$5:$C$11</c:f>
              <c:numCache>
                <c:formatCode>0.00%</c:formatCode>
                <c:ptCount val="7"/>
                <c:pt idx="0">
                  <c:v>0.32</c:v>
                </c:pt>
                <c:pt idx="1">
                  <c:v>0.06</c:v>
                </c:pt>
                <c:pt idx="2">
                  <c:v>7.0000000000000007E-2</c:v>
                </c:pt>
                <c:pt idx="3">
                  <c:v>0.11</c:v>
                </c:pt>
                <c:pt idx="4">
                  <c:v>0.12</c:v>
                </c:pt>
                <c:pt idx="5">
                  <c:v>0.22</c:v>
                </c:pt>
                <c:pt idx="6">
                  <c:v>0.1</c:v>
                </c:pt>
              </c:numCache>
            </c:numRef>
          </c:val>
          <c:extLst>
            <c:ext xmlns:c16="http://schemas.microsoft.com/office/drawing/2014/chart" uri="{C3380CC4-5D6E-409C-BE32-E72D297353CC}">
              <c16:uniqueId val="{00000001-1CEB-4864-B96F-CF6172963ECE}"/>
            </c:ext>
          </c:extLst>
        </c:ser>
        <c:ser>
          <c:idx val="2"/>
          <c:order val="2"/>
          <c:tx>
            <c:strRef>
              <c:f>'Footware Purchases'!$D$4</c:f>
              <c:strCache>
                <c:ptCount val="1"/>
                <c:pt idx="0">
                  <c:v>2024</c:v>
                </c:pt>
              </c:strCache>
            </c:strRef>
          </c:tx>
          <c:spPr>
            <a:solidFill>
              <a:schemeClr val="accent3"/>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Purchases'!$D$5:$D$11</c:f>
              <c:numCache>
                <c:formatCode>0.00%</c:formatCode>
                <c:ptCount val="7"/>
                <c:pt idx="0">
                  <c:v>0.31</c:v>
                </c:pt>
                <c:pt idx="1">
                  <c:v>0.06</c:v>
                </c:pt>
                <c:pt idx="2">
                  <c:v>0.09</c:v>
                </c:pt>
                <c:pt idx="3">
                  <c:v>0.15</c:v>
                </c:pt>
                <c:pt idx="4">
                  <c:v>0.14000000000000001</c:v>
                </c:pt>
                <c:pt idx="5">
                  <c:v>0.19</c:v>
                </c:pt>
                <c:pt idx="6">
                  <c:v>0.06</c:v>
                </c:pt>
              </c:numCache>
            </c:numRef>
          </c:val>
          <c:extLst>
            <c:ext xmlns:c16="http://schemas.microsoft.com/office/drawing/2014/chart" uri="{C3380CC4-5D6E-409C-BE32-E72D297353CC}">
              <c16:uniqueId val="{00000002-1CEB-4864-B96F-CF6172963ECE}"/>
            </c:ext>
          </c:extLst>
        </c:ser>
        <c:ser>
          <c:idx val="3"/>
          <c:order val="3"/>
          <c:tx>
            <c:strRef>
              <c:f>'Footware Purchases'!$E$4</c:f>
              <c:strCache>
                <c:ptCount val="1"/>
                <c:pt idx="0">
                  <c:v>2023</c:v>
                </c:pt>
              </c:strCache>
            </c:strRef>
          </c:tx>
          <c:spPr>
            <a:solidFill>
              <a:schemeClr val="accent4"/>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Purchases'!$E$5:$E$11</c:f>
              <c:numCache>
                <c:formatCode>0.00%</c:formatCode>
                <c:ptCount val="7"/>
                <c:pt idx="0">
                  <c:v>0.27</c:v>
                </c:pt>
                <c:pt idx="1">
                  <c:v>0.06</c:v>
                </c:pt>
                <c:pt idx="2">
                  <c:v>0.08</c:v>
                </c:pt>
                <c:pt idx="3">
                  <c:v>0.12</c:v>
                </c:pt>
                <c:pt idx="4">
                  <c:v>0.15</c:v>
                </c:pt>
                <c:pt idx="5">
                  <c:v>0.23</c:v>
                </c:pt>
                <c:pt idx="6">
                  <c:v>0.09</c:v>
                </c:pt>
              </c:numCache>
            </c:numRef>
          </c:val>
          <c:extLst>
            <c:ext xmlns:c16="http://schemas.microsoft.com/office/drawing/2014/chart" uri="{C3380CC4-5D6E-409C-BE32-E72D297353CC}">
              <c16:uniqueId val="{00000003-1CEB-4864-B96F-CF6172963ECE}"/>
            </c:ext>
          </c:extLst>
        </c:ser>
        <c:ser>
          <c:idx val="4"/>
          <c:order val="4"/>
          <c:tx>
            <c:strRef>
              <c:f>'Footware Purchases'!$F$4</c:f>
              <c:strCache>
                <c:ptCount val="1"/>
                <c:pt idx="0">
                  <c:v>2022</c:v>
                </c:pt>
              </c:strCache>
            </c:strRef>
          </c:tx>
          <c:spPr>
            <a:solidFill>
              <a:schemeClr val="accent5"/>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Purchases'!$F$5:$F$11</c:f>
              <c:numCache>
                <c:formatCode>0.00%</c:formatCode>
                <c:ptCount val="7"/>
                <c:pt idx="0">
                  <c:v>0.28000000000000003</c:v>
                </c:pt>
                <c:pt idx="1">
                  <c:v>0.06</c:v>
                </c:pt>
                <c:pt idx="2">
                  <c:v>0.09</c:v>
                </c:pt>
                <c:pt idx="3">
                  <c:v>0.12</c:v>
                </c:pt>
                <c:pt idx="4">
                  <c:v>0.15</c:v>
                </c:pt>
                <c:pt idx="5">
                  <c:v>0.22</c:v>
                </c:pt>
                <c:pt idx="6">
                  <c:v>0.08</c:v>
                </c:pt>
              </c:numCache>
            </c:numRef>
          </c:val>
          <c:extLst>
            <c:ext xmlns:c16="http://schemas.microsoft.com/office/drawing/2014/chart" uri="{C3380CC4-5D6E-409C-BE32-E72D297353CC}">
              <c16:uniqueId val="{00000004-1CEB-4864-B96F-CF6172963ECE}"/>
            </c:ext>
          </c:extLst>
        </c:ser>
        <c:ser>
          <c:idx val="5"/>
          <c:order val="5"/>
          <c:tx>
            <c:strRef>
              <c:f>'Footware Purchases'!$G$4</c:f>
              <c:strCache>
                <c:ptCount val="1"/>
                <c:pt idx="0">
                  <c:v>2021</c:v>
                </c:pt>
              </c:strCache>
            </c:strRef>
          </c:tx>
          <c:spPr>
            <a:solidFill>
              <a:schemeClr val="accent6"/>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Purchases'!$G$5:$G$11</c:f>
              <c:numCache>
                <c:formatCode>0.00%</c:formatCode>
                <c:ptCount val="7"/>
                <c:pt idx="0">
                  <c:v>0.31</c:v>
                </c:pt>
                <c:pt idx="1">
                  <c:v>0.06</c:v>
                </c:pt>
                <c:pt idx="2">
                  <c:v>0.09</c:v>
                </c:pt>
                <c:pt idx="3">
                  <c:v>0.12</c:v>
                </c:pt>
                <c:pt idx="4">
                  <c:v>0.15</c:v>
                </c:pt>
                <c:pt idx="5">
                  <c:v>0.2</c:v>
                </c:pt>
                <c:pt idx="6">
                  <c:v>7.0000000000000007E-2</c:v>
                </c:pt>
              </c:numCache>
            </c:numRef>
          </c:val>
          <c:extLst>
            <c:ext xmlns:c16="http://schemas.microsoft.com/office/drawing/2014/chart" uri="{C3380CC4-5D6E-409C-BE32-E72D297353CC}">
              <c16:uniqueId val="{00000005-1CEB-4864-B96F-CF6172963ECE}"/>
            </c:ext>
          </c:extLst>
        </c:ser>
        <c:dLbls>
          <c:showLegendKey val="0"/>
          <c:showVal val="0"/>
          <c:showCatName val="0"/>
          <c:showSerName val="0"/>
          <c:showPercent val="0"/>
          <c:showBubbleSize val="0"/>
        </c:dLbls>
        <c:gapWidth val="150"/>
        <c:overlap val="100"/>
        <c:axId val="1511622000"/>
        <c:axId val="1511643120"/>
      </c:barChart>
      <c:catAx>
        <c:axId val="151162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643120"/>
        <c:crosses val="autoZero"/>
        <c:auto val="1"/>
        <c:lblAlgn val="ctr"/>
        <c:lblOffset val="100"/>
        <c:noMultiLvlLbl val="0"/>
      </c:catAx>
      <c:valAx>
        <c:axId val="1511643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62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100%</a:t>
            </a:r>
            <a:r>
              <a:rPr lang="en-US" baseline="0"/>
              <a:t> Stacked Column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'Footware Purchases'!$B$4</c:f>
              <c:strCache>
                <c:ptCount val="1"/>
                <c:pt idx="0">
                  <c:v>US Population</c:v>
                </c:pt>
              </c:strCache>
            </c:strRef>
          </c:tx>
          <c:spPr>
            <a:solidFill>
              <a:schemeClr val="accent1"/>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Purchases'!$B$5:$B$11</c:f>
              <c:numCache>
                <c:formatCode>0.00%</c:formatCode>
                <c:ptCount val="7"/>
                <c:pt idx="0">
                  <c:v>0.19800000000000001</c:v>
                </c:pt>
                <c:pt idx="1">
                  <c:v>5.7000000000000002E-2</c:v>
                </c:pt>
                <c:pt idx="2">
                  <c:v>9.7000000000000003E-2</c:v>
                </c:pt>
                <c:pt idx="3">
                  <c:v>0.13500000000000001</c:v>
                </c:pt>
                <c:pt idx="4">
                  <c:v>0.16200000000000001</c:v>
                </c:pt>
                <c:pt idx="5">
                  <c:v>0.224</c:v>
                </c:pt>
                <c:pt idx="6">
                  <c:v>0.127</c:v>
                </c:pt>
              </c:numCache>
            </c:numRef>
          </c:val>
          <c:extLst>
            <c:ext xmlns:c16="http://schemas.microsoft.com/office/drawing/2014/chart" uri="{C3380CC4-5D6E-409C-BE32-E72D297353CC}">
              <c16:uniqueId val="{00000000-3112-4514-AB5F-896DF0834E03}"/>
            </c:ext>
          </c:extLst>
        </c:ser>
        <c:ser>
          <c:idx val="1"/>
          <c:order val="1"/>
          <c:tx>
            <c:strRef>
              <c:f>'Footware Purchases'!$C$4</c:f>
              <c:strCache>
                <c:ptCount val="1"/>
                <c:pt idx="0">
                  <c:v>2025</c:v>
                </c:pt>
              </c:strCache>
            </c:strRef>
          </c:tx>
          <c:spPr>
            <a:solidFill>
              <a:schemeClr val="accent2"/>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Purchases'!$C$5:$C$11</c:f>
              <c:numCache>
                <c:formatCode>0.00%</c:formatCode>
                <c:ptCount val="7"/>
                <c:pt idx="0">
                  <c:v>0.32</c:v>
                </c:pt>
                <c:pt idx="1">
                  <c:v>0.06</c:v>
                </c:pt>
                <c:pt idx="2">
                  <c:v>7.0000000000000007E-2</c:v>
                </c:pt>
                <c:pt idx="3">
                  <c:v>0.11</c:v>
                </c:pt>
                <c:pt idx="4">
                  <c:v>0.12</c:v>
                </c:pt>
                <c:pt idx="5">
                  <c:v>0.22</c:v>
                </c:pt>
                <c:pt idx="6">
                  <c:v>0.1</c:v>
                </c:pt>
              </c:numCache>
            </c:numRef>
          </c:val>
          <c:extLst>
            <c:ext xmlns:c16="http://schemas.microsoft.com/office/drawing/2014/chart" uri="{C3380CC4-5D6E-409C-BE32-E72D297353CC}">
              <c16:uniqueId val="{00000001-3112-4514-AB5F-896DF0834E03}"/>
            </c:ext>
          </c:extLst>
        </c:ser>
        <c:ser>
          <c:idx val="2"/>
          <c:order val="2"/>
          <c:tx>
            <c:strRef>
              <c:f>'Footware Purchases'!$D$4</c:f>
              <c:strCache>
                <c:ptCount val="1"/>
                <c:pt idx="0">
                  <c:v>2024</c:v>
                </c:pt>
              </c:strCache>
            </c:strRef>
          </c:tx>
          <c:spPr>
            <a:solidFill>
              <a:schemeClr val="accent3"/>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Purchases'!$D$5:$D$11</c:f>
              <c:numCache>
                <c:formatCode>0.00%</c:formatCode>
                <c:ptCount val="7"/>
                <c:pt idx="0">
                  <c:v>0.31</c:v>
                </c:pt>
                <c:pt idx="1">
                  <c:v>0.06</c:v>
                </c:pt>
                <c:pt idx="2">
                  <c:v>0.09</c:v>
                </c:pt>
                <c:pt idx="3">
                  <c:v>0.15</c:v>
                </c:pt>
                <c:pt idx="4">
                  <c:v>0.14000000000000001</c:v>
                </c:pt>
                <c:pt idx="5">
                  <c:v>0.19</c:v>
                </c:pt>
                <c:pt idx="6">
                  <c:v>0.06</c:v>
                </c:pt>
              </c:numCache>
            </c:numRef>
          </c:val>
          <c:extLst>
            <c:ext xmlns:c16="http://schemas.microsoft.com/office/drawing/2014/chart" uri="{C3380CC4-5D6E-409C-BE32-E72D297353CC}">
              <c16:uniqueId val="{00000002-3112-4514-AB5F-896DF0834E03}"/>
            </c:ext>
          </c:extLst>
        </c:ser>
        <c:ser>
          <c:idx val="3"/>
          <c:order val="3"/>
          <c:tx>
            <c:strRef>
              <c:f>'Footware Purchases'!$E$4</c:f>
              <c:strCache>
                <c:ptCount val="1"/>
                <c:pt idx="0">
                  <c:v>2023</c:v>
                </c:pt>
              </c:strCache>
            </c:strRef>
          </c:tx>
          <c:spPr>
            <a:solidFill>
              <a:schemeClr val="accent4"/>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Purchases'!$E$5:$E$11</c:f>
              <c:numCache>
                <c:formatCode>0.00%</c:formatCode>
                <c:ptCount val="7"/>
                <c:pt idx="0">
                  <c:v>0.27</c:v>
                </c:pt>
                <c:pt idx="1">
                  <c:v>0.06</c:v>
                </c:pt>
                <c:pt idx="2">
                  <c:v>0.08</c:v>
                </c:pt>
                <c:pt idx="3">
                  <c:v>0.12</c:v>
                </c:pt>
                <c:pt idx="4">
                  <c:v>0.15</c:v>
                </c:pt>
                <c:pt idx="5">
                  <c:v>0.23</c:v>
                </c:pt>
                <c:pt idx="6">
                  <c:v>0.09</c:v>
                </c:pt>
              </c:numCache>
            </c:numRef>
          </c:val>
          <c:extLst>
            <c:ext xmlns:c16="http://schemas.microsoft.com/office/drawing/2014/chart" uri="{C3380CC4-5D6E-409C-BE32-E72D297353CC}">
              <c16:uniqueId val="{00000003-3112-4514-AB5F-896DF0834E03}"/>
            </c:ext>
          </c:extLst>
        </c:ser>
        <c:ser>
          <c:idx val="4"/>
          <c:order val="4"/>
          <c:tx>
            <c:strRef>
              <c:f>'Footware Purchases'!$F$4</c:f>
              <c:strCache>
                <c:ptCount val="1"/>
                <c:pt idx="0">
                  <c:v>2022</c:v>
                </c:pt>
              </c:strCache>
            </c:strRef>
          </c:tx>
          <c:spPr>
            <a:solidFill>
              <a:schemeClr val="accent5"/>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Purchases'!$F$5:$F$11</c:f>
              <c:numCache>
                <c:formatCode>0.00%</c:formatCode>
                <c:ptCount val="7"/>
                <c:pt idx="0">
                  <c:v>0.28000000000000003</c:v>
                </c:pt>
                <c:pt idx="1">
                  <c:v>0.06</c:v>
                </c:pt>
                <c:pt idx="2">
                  <c:v>0.09</c:v>
                </c:pt>
                <c:pt idx="3">
                  <c:v>0.12</c:v>
                </c:pt>
                <c:pt idx="4">
                  <c:v>0.15</c:v>
                </c:pt>
                <c:pt idx="5">
                  <c:v>0.22</c:v>
                </c:pt>
                <c:pt idx="6">
                  <c:v>0.08</c:v>
                </c:pt>
              </c:numCache>
            </c:numRef>
          </c:val>
          <c:extLst>
            <c:ext xmlns:c16="http://schemas.microsoft.com/office/drawing/2014/chart" uri="{C3380CC4-5D6E-409C-BE32-E72D297353CC}">
              <c16:uniqueId val="{00000004-3112-4514-AB5F-896DF0834E03}"/>
            </c:ext>
          </c:extLst>
        </c:ser>
        <c:ser>
          <c:idx val="5"/>
          <c:order val="5"/>
          <c:tx>
            <c:strRef>
              <c:f>'Footware Purchases'!$G$4</c:f>
              <c:strCache>
                <c:ptCount val="1"/>
                <c:pt idx="0">
                  <c:v>2021</c:v>
                </c:pt>
              </c:strCache>
            </c:strRef>
          </c:tx>
          <c:spPr>
            <a:solidFill>
              <a:schemeClr val="accent6"/>
            </a:solidFill>
            <a:ln>
              <a:noFill/>
            </a:ln>
            <a:effectLst/>
          </c:spPr>
          <c:invertIfNegative val="0"/>
          <c:cat>
            <c:strRef>
              <c:f>'Footware Purchases'!$A$5:$A$11</c:f>
              <c:strCache>
                <c:ptCount val="7"/>
                <c:pt idx="0">
                  <c:v>Under 14</c:v>
                </c:pt>
                <c:pt idx="1">
                  <c:v>14-17</c:v>
                </c:pt>
                <c:pt idx="2">
                  <c:v>18-24</c:v>
                </c:pt>
                <c:pt idx="3">
                  <c:v>25-34</c:v>
                </c:pt>
                <c:pt idx="4">
                  <c:v>35-44</c:v>
                </c:pt>
                <c:pt idx="5">
                  <c:v>45-64</c:v>
                </c:pt>
                <c:pt idx="6">
                  <c:v>65 &amp; Older</c:v>
                </c:pt>
              </c:strCache>
            </c:strRef>
          </c:cat>
          <c:val>
            <c:numRef>
              <c:f>'Footware Purchases'!$G$5:$G$11</c:f>
              <c:numCache>
                <c:formatCode>0.00%</c:formatCode>
                <c:ptCount val="7"/>
                <c:pt idx="0">
                  <c:v>0.31</c:v>
                </c:pt>
                <c:pt idx="1">
                  <c:v>0.06</c:v>
                </c:pt>
                <c:pt idx="2">
                  <c:v>0.09</c:v>
                </c:pt>
                <c:pt idx="3">
                  <c:v>0.12</c:v>
                </c:pt>
                <c:pt idx="4">
                  <c:v>0.15</c:v>
                </c:pt>
                <c:pt idx="5">
                  <c:v>0.2</c:v>
                </c:pt>
                <c:pt idx="6">
                  <c:v>7.0000000000000007E-2</c:v>
                </c:pt>
              </c:numCache>
            </c:numRef>
          </c:val>
          <c:extLst>
            <c:ext xmlns:c16="http://schemas.microsoft.com/office/drawing/2014/chart" uri="{C3380CC4-5D6E-409C-BE32-E72D297353CC}">
              <c16:uniqueId val="{00000005-3112-4514-AB5F-896DF0834E03}"/>
            </c:ext>
          </c:extLst>
        </c:ser>
        <c:dLbls>
          <c:showLegendKey val="0"/>
          <c:showVal val="0"/>
          <c:showCatName val="0"/>
          <c:showSerName val="0"/>
          <c:showPercent val="0"/>
          <c:showBubbleSize val="0"/>
        </c:dLbls>
        <c:gapWidth val="150"/>
        <c:overlap val="100"/>
        <c:axId val="1091783007"/>
        <c:axId val="1091794047"/>
      </c:barChart>
      <c:catAx>
        <c:axId val="109178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94047"/>
        <c:crosses val="autoZero"/>
        <c:auto val="1"/>
        <c:lblAlgn val="ctr"/>
        <c:lblOffset val="100"/>
        <c:noMultiLvlLbl val="0"/>
      </c:catAx>
      <c:valAx>
        <c:axId val="1091794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83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Camping Area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ndard"/>
        <c:varyColors val="0"/>
        <c:ser>
          <c:idx val="0"/>
          <c:order val="0"/>
          <c:tx>
            <c:strRef>
              <c:f>'Camping Purchases'!$B$3</c:f>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Purchases'!$B$5:$B$11</c15:sqref>
                  </c15:fullRef>
                </c:ext>
              </c:extLst>
              <c:f>'Camping Purchases'!$B$5:$B$10</c:f>
              <c:numCache>
                <c:formatCode>0.00%</c:formatCode>
                <c:ptCount val="6"/>
                <c:pt idx="0">
                  <c:v>0.19800000000000001</c:v>
                </c:pt>
                <c:pt idx="1">
                  <c:v>5.7000000000000002E-2</c:v>
                </c:pt>
                <c:pt idx="2">
                  <c:v>9.7000000000000003E-2</c:v>
                </c:pt>
                <c:pt idx="3">
                  <c:v>0.13500000000000001</c:v>
                </c:pt>
                <c:pt idx="4">
                  <c:v>0.16200000000000001</c:v>
                </c:pt>
                <c:pt idx="5">
                  <c:v>0.224</c:v>
                </c:pt>
              </c:numCache>
            </c:numRef>
          </c:val>
          <c:extLst>
            <c:ext xmlns:c16="http://schemas.microsoft.com/office/drawing/2014/chart" uri="{C3380CC4-5D6E-409C-BE32-E72D297353CC}">
              <c16:uniqueId val="{00000000-E63F-450D-B80D-186A82FD62A4}"/>
            </c:ext>
          </c:extLst>
        </c:ser>
        <c:ser>
          <c:idx val="1"/>
          <c:order val="1"/>
          <c:tx>
            <c:strRef>
              <c:f>'Camping Purchases'!$C$4</c:f>
              <c:strCache>
                <c:ptCount val="1"/>
                <c:pt idx="0">
                  <c:v>2025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Purchases'!$C$5:$C$11</c15:sqref>
                  </c15:fullRef>
                </c:ext>
              </c:extLst>
              <c:f>'Camping Purchases'!$C$5:$C$10</c:f>
              <c:numCache>
                <c:formatCode>0.00%</c:formatCode>
                <c:ptCount val="6"/>
                <c:pt idx="0">
                  <c:v>0.15</c:v>
                </c:pt>
                <c:pt idx="1">
                  <c:v>0.1</c:v>
                </c:pt>
                <c:pt idx="2">
                  <c:v>0.11</c:v>
                </c:pt>
                <c:pt idx="3">
                  <c:v>0.2</c:v>
                </c:pt>
                <c:pt idx="4">
                  <c:v>0.19</c:v>
                </c:pt>
                <c:pt idx="5">
                  <c:v>0.19</c:v>
                </c:pt>
              </c:numCache>
            </c:numRef>
          </c:val>
          <c:extLst>
            <c:ext xmlns:c16="http://schemas.microsoft.com/office/drawing/2014/chart" uri="{C3380CC4-5D6E-409C-BE32-E72D297353CC}">
              <c16:uniqueId val="{00000001-E63F-450D-B80D-186A82FD62A4}"/>
            </c:ext>
          </c:extLst>
        </c:ser>
        <c:ser>
          <c:idx val="2"/>
          <c:order val="2"/>
          <c:tx>
            <c:strRef>
              <c:f>'Camping Purchases'!$D$4</c:f>
              <c:strCache>
                <c:ptCount val="1"/>
                <c:pt idx="0">
                  <c:v>2024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Purchases'!$D$5:$D$11</c15:sqref>
                  </c15:fullRef>
                </c:ext>
              </c:extLst>
              <c:f>'Camping Purchases'!$D$5:$D$10</c:f>
              <c:numCache>
                <c:formatCode>0.00%</c:formatCode>
                <c:ptCount val="6"/>
                <c:pt idx="0">
                  <c:v>0.17</c:v>
                </c:pt>
                <c:pt idx="1">
                  <c:v>0.11</c:v>
                </c:pt>
                <c:pt idx="2">
                  <c:v>0.09</c:v>
                </c:pt>
                <c:pt idx="3">
                  <c:v>0.22</c:v>
                </c:pt>
                <c:pt idx="4">
                  <c:v>0.21</c:v>
                </c:pt>
                <c:pt idx="5">
                  <c:v>0.16</c:v>
                </c:pt>
              </c:numCache>
            </c:numRef>
          </c:val>
          <c:extLst>
            <c:ext xmlns:c16="http://schemas.microsoft.com/office/drawing/2014/chart" uri="{C3380CC4-5D6E-409C-BE32-E72D297353CC}">
              <c16:uniqueId val="{00000002-E63F-450D-B80D-186A82FD62A4}"/>
            </c:ext>
          </c:extLst>
        </c:ser>
        <c:ser>
          <c:idx val="3"/>
          <c:order val="3"/>
          <c:tx>
            <c:strRef>
              <c:f>'Camping Purchases'!$E$4</c:f>
              <c:strCache>
                <c:ptCount val="1"/>
                <c:pt idx="0">
                  <c:v>2023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Purchases'!$E$5:$E$11</c15:sqref>
                  </c15:fullRef>
                </c:ext>
              </c:extLst>
              <c:f>'Camping Purchases'!$E$5:$E$10</c:f>
              <c:numCache>
                <c:formatCode>0.00%</c:formatCode>
                <c:ptCount val="6"/>
                <c:pt idx="0">
                  <c:v>0.16</c:v>
                </c:pt>
                <c:pt idx="1">
                  <c:v>0.11</c:v>
                </c:pt>
                <c:pt idx="2">
                  <c:v>0.09</c:v>
                </c:pt>
                <c:pt idx="3">
                  <c:v>0.19</c:v>
                </c:pt>
                <c:pt idx="4">
                  <c:v>0.2</c:v>
                </c:pt>
                <c:pt idx="5">
                  <c:v>0.22</c:v>
                </c:pt>
              </c:numCache>
            </c:numRef>
          </c:val>
          <c:extLst>
            <c:ext xmlns:c16="http://schemas.microsoft.com/office/drawing/2014/chart" uri="{C3380CC4-5D6E-409C-BE32-E72D297353CC}">
              <c16:uniqueId val="{00000003-E63F-450D-B80D-186A82FD62A4}"/>
            </c:ext>
          </c:extLst>
        </c:ser>
        <c:ser>
          <c:idx val="4"/>
          <c:order val="4"/>
          <c:tx>
            <c:strRef>
              <c:f>'Camping Purchases'!$F$4</c:f>
              <c:strCache>
                <c:ptCount val="1"/>
                <c:pt idx="0">
                  <c:v>2022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Purchases'!$F$5:$F$11</c15:sqref>
                  </c15:fullRef>
                </c:ext>
              </c:extLst>
              <c:f>'Camping Purchases'!$F$5:$F$10</c:f>
              <c:numCache>
                <c:formatCode>0.00%</c:formatCode>
                <c:ptCount val="6"/>
                <c:pt idx="0">
                  <c:v>0.17</c:v>
                </c:pt>
                <c:pt idx="1">
                  <c:v>0.11</c:v>
                </c:pt>
                <c:pt idx="2">
                  <c:v>0.1</c:v>
                </c:pt>
                <c:pt idx="3">
                  <c:v>0.2</c:v>
                </c:pt>
                <c:pt idx="4">
                  <c:v>0.19</c:v>
                </c:pt>
                <c:pt idx="5">
                  <c:v>0.2</c:v>
                </c:pt>
              </c:numCache>
            </c:numRef>
          </c:val>
          <c:extLst>
            <c:ext xmlns:c16="http://schemas.microsoft.com/office/drawing/2014/chart" uri="{C3380CC4-5D6E-409C-BE32-E72D297353CC}">
              <c16:uniqueId val="{00000004-E63F-450D-B80D-186A82FD62A4}"/>
            </c:ext>
          </c:extLst>
        </c:ser>
        <c:ser>
          <c:idx val="5"/>
          <c:order val="5"/>
          <c:tx>
            <c:strRef>
              <c:f>'Camping Purchases'!$G$4</c:f>
              <c:strCache>
                <c:ptCount val="1"/>
                <c:pt idx="0">
                  <c:v>2021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Purchases'!$G$5:$G$11</c15:sqref>
                  </c15:fullRef>
                </c:ext>
              </c:extLst>
              <c:f>'Camping Purchases'!$G$5:$G$10</c:f>
              <c:numCache>
                <c:formatCode>0.00%</c:formatCode>
                <c:ptCount val="6"/>
                <c:pt idx="0">
                  <c:v>0.17</c:v>
                </c:pt>
                <c:pt idx="1">
                  <c:v>0.1</c:v>
                </c:pt>
                <c:pt idx="2">
                  <c:v>0.1</c:v>
                </c:pt>
                <c:pt idx="3">
                  <c:v>0.2</c:v>
                </c:pt>
                <c:pt idx="4">
                  <c:v>0.18</c:v>
                </c:pt>
                <c:pt idx="5">
                  <c:v>0.21</c:v>
                </c:pt>
              </c:numCache>
            </c:numRef>
          </c:val>
          <c:extLst>
            <c:ext xmlns:c16="http://schemas.microsoft.com/office/drawing/2014/chart" uri="{C3380CC4-5D6E-409C-BE32-E72D297353CC}">
              <c16:uniqueId val="{00000005-E63F-450D-B80D-186A82FD62A4}"/>
            </c:ext>
          </c:extLst>
        </c:ser>
        <c:dLbls>
          <c:showLegendKey val="0"/>
          <c:showVal val="0"/>
          <c:showCatName val="0"/>
          <c:showSerName val="0"/>
          <c:showPercent val="0"/>
          <c:showBubbleSize val="0"/>
        </c:dLbls>
        <c:axId val="1091808927"/>
        <c:axId val="1091792607"/>
      </c:areaChart>
      <c:catAx>
        <c:axId val="10918089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792607"/>
        <c:crosses val="autoZero"/>
        <c:auto val="1"/>
        <c:lblAlgn val="ctr"/>
        <c:lblOffset val="100"/>
        <c:noMultiLvlLbl val="0"/>
      </c:catAx>
      <c:valAx>
        <c:axId val="10917926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8089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Camping Stacked Area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cked"/>
        <c:varyColors val="0"/>
        <c:ser>
          <c:idx val="0"/>
          <c:order val="0"/>
          <c:tx>
            <c:strRef>
              <c:f>'Camping Purchases'!$B$3</c:f>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Purchases'!$B$5:$B$11</c15:sqref>
                  </c15:fullRef>
                </c:ext>
              </c:extLst>
              <c:f>'Camping Purchases'!$B$5:$B$10</c:f>
              <c:numCache>
                <c:formatCode>0.00%</c:formatCode>
                <c:ptCount val="6"/>
                <c:pt idx="0">
                  <c:v>0.19800000000000001</c:v>
                </c:pt>
                <c:pt idx="1">
                  <c:v>5.7000000000000002E-2</c:v>
                </c:pt>
                <c:pt idx="2">
                  <c:v>9.7000000000000003E-2</c:v>
                </c:pt>
                <c:pt idx="3">
                  <c:v>0.13500000000000001</c:v>
                </c:pt>
                <c:pt idx="4">
                  <c:v>0.16200000000000001</c:v>
                </c:pt>
                <c:pt idx="5">
                  <c:v>0.224</c:v>
                </c:pt>
              </c:numCache>
            </c:numRef>
          </c:val>
          <c:extLst>
            <c:ext xmlns:c16="http://schemas.microsoft.com/office/drawing/2014/chart" uri="{C3380CC4-5D6E-409C-BE32-E72D297353CC}">
              <c16:uniqueId val="{00000000-B117-468A-9C3D-8FD05C5B3BC5}"/>
            </c:ext>
          </c:extLst>
        </c:ser>
        <c:ser>
          <c:idx val="1"/>
          <c:order val="1"/>
          <c:tx>
            <c:strRef>
              <c:f>'Camping Purchases'!$C$4</c:f>
              <c:strCache>
                <c:ptCount val="1"/>
                <c:pt idx="0">
                  <c:v>2025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Purchases'!$C$5:$C$11</c15:sqref>
                  </c15:fullRef>
                </c:ext>
              </c:extLst>
              <c:f>'Camping Purchases'!$C$5:$C$10</c:f>
              <c:numCache>
                <c:formatCode>0.00%</c:formatCode>
                <c:ptCount val="6"/>
                <c:pt idx="0">
                  <c:v>0.15</c:v>
                </c:pt>
                <c:pt idx="1">
                  <c:v>0.1</c:v>
                </c:pt>
                <c:pt idx="2">
                  <c:v>0.11</c:v>
                </c:pt>
                <c:pt idx="3">
                  <c:v>0.2</c:v>
                </c:pt>
                <c:pt idx="4">
                  <c:v>0.19</c:v>
                </c:pt>
                <c:pt idx="5">
                  <c:v>0.19</c:v>
                </c:pt>
              </c:numCache>
            </c:numRef>
          </c:val>
          <c:extLst>
            <c:ext xmlns:c16="http://schemas.microsoft.com/office/drawing/2014/chart" uri="{C3380CC4-5D6E-409C-BE32-E72D297353CC}">
              <c16:uniqueId val="{00000001-B117-468A-9C3D-8FD05C5B3BC5}"/>
            </c:ext>
          </c:extLst>
        </c:ser>
        <c:ser>
          <c:idx val="2"/>
          <c:order val="2"/>
          <c:tx>
            <c:strRef>
              <c:f>'Camping Purchases'!$D$4</c:f>
              <c:strCache>
                <c:ptCount val="1"/>
                <c:pt idx="0">
                  <c:v>2024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Purchases'!$D$5:$D$11</c15:sqref>
                  </c15:fullRef>
                </c:ext>
              </c:extLst>
              <c:f>'Camping Purchases'!$D$5:$D$10</c:f>
              <c:numCache>
                <c:formatCode>0.00%</c:formatCode>
                <c:ptCount val="6"/>
                <c:pt idx="0">
                  <c:v>0.17</c:v>
                </c:pt>
                <c:pt idx="1">
                  <c:v>0.11</c:v>
                </c:pt>
                <c:pt idx="2">
                  <c:v>0.09</c:v>
                </c:pt>
                <c:pt idx="3">
                  <c:v>0.22</c:v>
                </c:pt>
                <c:pt idx="4">
                  <c:v>0.21</c:v>
                </c:pt>
                <c:pt idx="5">
                  <c:v>0.16</c:v>
                </c:pt>
              </c:numCache>
            </c:numRef>
          </c:val>
          <c:extLst>
            <c:ext xmlns:c16="http://schemas.microsoft.com/office/drawing/2014/chart" uri="{C3380CC4-5D6E-409C-BE32-E72D297353CC}">
              <c16:uniqueId val="{00000002-B117-468A-9C3D-8FD05C5B3BC5}"/>
            </c:ext>
          </c:extLst>
        </c:ser>
        <c:ser>
          <c:idx val="3"/>
          <c:order val="3"/>
          <c:tx>
            <c:strRef>
              <c:f>'Camping Purchases'!$E$4</c:f>
              <c:strCache>
                <c:ptCount val="1"/>
                <c:pt idx="0">
                  <c:v>2023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Purchases'!$E$5:$E$11</c15:sqref>
                  </c15:fullRef>
                </c:ext>
              </c:extLst>
              <c:f>'Camping Purchases'!$E$5:$E$10</c:f>
              <c:numCache>
                <c:formatCode>0.00%</c:formatCode>
                <c:ptCount val="6"/>
                <c:pt idx="0">
                  <c:v>0.16</c:v>
                </c:pt>
                <c:pt idx="1">
                  <c:v>0.11</c:v>
                </c:pt>
                <c:pt idx="2">
                  <c:v>0.09</c:v>
                </c:pt>
                <c:pt idx="3">
                  <c:v>0.19</c:v>
                </c:pt>
                <c:pt idx="4">
                  <c:v>0.2</c:v>
                </c:pt>
                <c:pt idx="5">
                  <c:v>0.22</c:v>
                </c:pt>
              </c:numCache>
            </c:numRef>
          </c:val>
          <c:extLst>
            <c:ext xmlns:c16="http://schemas.microsoft.com/office/drawing/2014/chart" uri="{C3380CC4-5D6E-409C-BE32-E72D297353CC}">
              <c16:uniqueId val="{00000003-B117-468A-9C3D-8FD05C5B3BC5}"/>
            </c:ext>
          </c:extLst>
        </c:ser>
        <c:ser>
          <c:idx val="4"/>
          <c:order val="4"/>
          <c:tx>
            <c:strRef>
              <c:f>'Camping Purchases'!$F$4</c:f>
              <c:strCache>
                <c:ptCount val="1"/>
                <c:pt idx="0">
                  <c:v>2022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Purchases'!$F$5:$F$11</c15:sqref>
                  </c15:fullRef>
                </c:ext>
              </c:extLst>
              <c:f>'Camping Purchases'!$F$5:$F$10</c:f>
              <c:numCache>
                <c:formatCode>0.00%</c:formatCode>
                <c:ptCount val="6"/>
                <c:pt idx="0">
                  <c:v>0.17</c:v>
                </c:pt>
                <c:pt idx="1">
                  <c:v>0.11</c:v>
                </c:pt>
                <c:pt idx="2">
                  <c:v>0.1</c:v>
                </c:pt>
                <c:pt idx="3">
                  <c:v>0.2</c:v>
                </c:pt>
                <c:pt idx="4">
                  <c:v>0.19</c:v>
                </c:pt>
                <c:pt idx="5">
                  <c:v>0.2</c:v>
                </c:pt>
              </c:numCache>
            </c:numRef>
          </c:val>
          <c:extLst>
            <c:ext xmlns:c16="http://schemas.microsoft.com/office/drawing/2014/chart" uri="{C3380CC4-5D6E-409C-BE32-E72D297353CC}">
              <c16:uniqueId val="{00000004-B117-468A-9C3D-8FD05C5B3BC5}"/>
            </c:ext>
          </c:extLst>
        </c:ser>
        <c:ser>
          <c:idx val="5"/>
          <c:order val="5"/>
          <c:tx>
            <c:strRef>
              <c:f>'Camping Purchases'!$G$4</c:f>
              <c:strCache>
                <c:ptCount val="1"/>
                <c:pt idx="0">
                  <c:v>2021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Purchases'!$G$5:$G$11</c15:sqref>
                  </c15:fullRef>
                </c:ext>
              </c:extLst>
              <c:f>'Camping Purchases'!$G$5:$G$10</c:f>
              <c:numCache>
                <c:formatCode>0.00%</c:formatCode>
                <c:ptCount val="6"/>
                <c:pt idx="0">
                  <c:v>0.17</c:v>
                </c:pt>
                <c:pt idx="1">
                  <c:v>0.1</c:v>
                </c:pt>
                <c:pt idx="2">
                  <c:v>0.1</c:v>
                </c:pt>
                <c:pt idx="3">
                  <c:v>0.2</c:v>
                </c:pt>
                <c:pt idx="4">
                  <c:v>0.18</c:v>
                </c:pt>
                <c:pt idx="5">
                  <c:v>0.21</c:v>
                </c:pt>
              </c:numCache>
            </c:numRef>
          </c:val>
          <c:extLst>
            <c:ext xmlns:c16="http://schemas.microsoft.com/office/drawing/2014/chart" uri="{C3380CC4-5D6E-409C-BE32-E72D297353CC}">
              <c16:uniqueId val="{00000005-B117-468A-9C3D-8FD05C5B3BC5}"/>
            </c:ext>
          </c:extLst>
        </c:ser>
        <c:dLbls>
          <c:showLegendKey val="0"/>
          <c:showVal val="0"/>
          <c:showCatName val="0"/>
          <c:showSerName val="0"/>
          <c:showPercent val="0"/>
          <c:showBubbleSize val="0"/>
        </c:dLbls>
        <c:axId val="1138782527"/>
        <c:axId val="1138783967"/>
      </c:areaChart>
      <c:catAx>
        <c:axId val="11387825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783967"/>
        <c:crosses val="autoZero"/>
        <c:auto val="1"/>
        <c:lblAlgn val="ctr"/>
        <c:lblOffset val="100"/>
        <c:noMultiLvlLbl val="0"/>
      </c:catAx>
      <c:valAx>
        <c:axId val="11387839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782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100% Stacked Area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percentStacked"/>
        <c:varyColors val="0"/>
        <c:ser>
          <c:idx val="0"/>
          <c:order val="0"/>
          <c:tx>
            <c:strRef>
              <c:f>'Camping Purchases'!$B$3</c:f>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Purchases'!$B$5:$B$11</c15:sqref>
                  </c15:fullRef>
                </c:ext>
              </c:extLst>
              <c:f>'Camping Purchases'!$B$5:$B$10</c:f>
              <c:numCache>
                <c:formatCode>0.00%</c:formatCode>
                <c:ptCount val="6"/>
                <c:pt idx="0">
                  <c:v>0.19800000000000001</c:v>
                </c:pt>
                <c:pt idx="1">
                  <c:v>5.7000000000000002E-2</c:v>
                </c:pt>
                <c:pt idx="2">
                  <c:v>9.7000000000000003E-2</c:v>
                </c:pt>
                <c:pt idx="3">
                  <c:v>0.13500000000000001</c:v>
                </c:pt>
                <c:pt idx="4">
                  <c:v>0.16200000000000001</c:v>
                </c:pt>
                <c:pt idx="5">
                  <c:v>0.224</c:v>
                </c:pt>
              </c:numCache>
            </c:numRef>
          </c:val>
          <c:extLst>
            <c:ext xmlns:c16="http://schemas.microsoft.com/office/drawing/2014/chart" uri="{C3380CC4-5D6E-409C-BE32-E72D297353CC}">
              <c16:uniqueId val="{00000000-6C81-4A14-BFF0-522553CD1288}"/>
            </c:ext>
          </c:extLst>
        </c:ser>
        <c:ser>
          <c:idx val="1"/>
          <c:order val="1"/>
          <c:tx>
            <c:strRef>
              <c:f>'Camping Purchases'!$C$4</c:f>
              <c:strCache>
                <c:ptCount val="1"/>
                <c:pt idx="0">
                  <c:v>2025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Purchases'!$C$5:$C$11</c15:sqref>
                  </c15:fullRef>
                </c:ext>
              </c:extLst>
              <c:f>'Camping Purchases'!$C$5:$C$10</c:f>
              <c:numCache>
                <c:formatCode>0.00%</c:formatCode>
                <c:ptCount val="6"/>
                <c:pt idx="0">
                  <c:v>0.15</c:v>
                </c:pt>
                <c:pt idx="1">
                  <c:v>0.1</c:v>
                </c:pt>
                <c:pt idx="2">
                  <c:v>0.11</c:v>
                </c:pt>
                <c:pt idx="3">
                  <c:v>0.2</c:v>
                </c:pt>
                <c:pt idx="4">
                  <c:v>0.19</c:v>
                </c:pt>
                <c:pt idx="5">
                  <c:v>0.19</c:v>
                </c:pt>
              </c:numCache>
            </c:numRef>
          </c:val>
          <c:extLst>
            <c:ext xmlns:c16="http://schemas.microsoft.com/office/drawing/2014/chart" uri="{C3380CC4-5D6E-409C-BE32-E72D297353CC}">
              <c16:uniqueId val="{00000001-6C81-4A14-BFF0-522553CD1288}"/>
            </c:ext>
          </c:extLst>
        </c:ser>
        <c:ser>
          <c:idx val="2"/>
          <c:order val="2"/>
          <c:tx>
            <c:strRef>
              <c:f>'Camping Purchases'!$D$4</c:f>
              <c:strCache>
                <c:ptCount val="1"/>
                <c:pt idx="0">
                  <c:v>2024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Purchases'!$D$5:$D$11</c15:sqref>
                  </c15:fullRef>
                </c:ext>
              </c:extLst>
              <c:f>'Camping Purchases'!$D$5:$D$10</c:f>
              <c:numCache>
                <c:formatCode>0.00%</c:formatCode>
                <c:ptCount val="6"/>
                <c:pt idx="0">
                  <c:v>0.17</c:v>
                </c:pt>
                <c:pt idx="1">
                  <c:v>0.11</c:v>
                </c:pt>
                <c:pt idx="2">
                  <c:v>0.09</c:v>
                </c:pt>
                <c:pt idx="3">
                  <c:v>0.22</c:v>
                </c:pt>
                <c:pt idx="4">
                  <c:v>0.21</c:v>
                </c:pt>
                <c:pt idx="5">
                  <c:v>0.16</c:v>
                </c:pt>
              </c:numCache>
            </c:numRef>
          </c:val>
          <c:extLst>
            <c:ext xmlns:c16="http://schemas.microsoft.com/office/drawing/2014/chart" uri="{C3380CC4-5D6E-409C-BE32-E72D297353CC}">
              <c16:uniqueId val="{00000002-6C81-4A14-BFF0-522553CD1288}"/>
            </c:ext>
          </c:extLst>
        </c:ser>
        <c:ser>
          <c:idx val="3"/>
          <c:order val="3"/>
          <c:tx>
            <c:strRef>
              <c:f>'Camping Purchases'!$E$4</c:f>
              <c:strCache>
                <c:ptCount val="1"/>
                <c:pt idx="0">
                  <c:v>2023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Purchases'!$E$5:$E$11</c15:sqref>
                  </c15:fullRef>
                </c:ext>
              </c:extLst>
              <c:f>'Camping Purchases'!$E$5:$E$10</c:f>
              <c:numCache>
                <c:formatCode>0.00%</c:formatCode>
                <c:ptCount val="6"/>
                <c:pt idx="0">
                  <c:v>0.16</c:v>
                </c:pt>
                <c:pt idx="1">
                  <c:v>0.11</c:v>
                </c:pt>
                <c:pt idx="2">
                  <c:v>0.09</c:v>
                </c:pt>
                <c:pt idx="3">
                  <c:v>0.19</c:v>
                </c:pt>
                <c:pt idx="4">
                  <c:v>0.2</c:v>
                </c:pt>
                <c:pt idx="5">
                  <c:v>0.22</c:v>
                </c:pt>
              </c:numCache>
            </c:numRef>
          </c:val>
          <c:extLst>
            <c:ext xmlns:c16="http://schemas.microsoft.com/office/drawing/2014/chart" uri="{C3380CC4-5D6E-409C-BE32-E72D297353CC}">
              <c16:uniqueId val="{00000003-6C81-4A14-BFF0-522553CD1288}"/>
            </c:ext>
          </c:extLst>
        </c:ser>
        <c:ser>
          <c:idx val="4"/>
          <c:order val="4"/>
          <c:tx>
            <c:strRef>
              <c:f>'Camping Purchases'!$F$4</c:f>
              <c:strCache>
                <c:ptCount val="1"/>
                <c:pt idx="0">
                  <c:v>2022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Purchases'!$F$5:$F$11</c15:sqref>
                  </c15:fullRef>
                </c:ext>
              </c:extLst>
              <c:f>'Camping Purchases'!$F$5:$F$10</c:f>
              <c:numCache>
                <c:formatCode>0.00%</c:formatCode>
                <c:ptCount val="6"/>
                <c:pt idx="0">
                  <c:v>0.17</c:v>
                </c:pt>
                <c:pt idx="1">
                  <c:v>0.11</c:v>
                </c:pt>
                <c:pt idx="2">
                  <c:v>0.1</c:v>
                </c:pt>
                <c:pt idx="3">
                  <c:v>0.2</c:v>
                </c:pt>
                <c:pt idx="4">
                  <c:v>0.19</c:v>
                </c:pt>
                <c:pt idx="5">
                  <c:v>0.2</c:v>
                </c:pt>
              </c:numCache>
            </c:numRef>
          </c:val>
          <c:extLst>
            <c:ext xmlns:c16="http://schemas.microsoft.com/office/drawing/2014/chart" uri="{C3380CC4-5D6E-409C-BE32-E72D297353CC}">
              <c16:uniqueId val="{00000004-6C81-4A14-BFF0-522553CD1288}"/>
            </c:ext>
          </c:extLst>
        </c:ser>
        <c:ser>
          <c:idx val="5"/>
          <c:order val="5"/>
          <c:tx>
            <c:strRef>
              <c:f>'Camping Purchases'!$G$4</c:f>
              <c:strCache>
                <c:ptCount val="1"/>
                <c:pt idx="0">
                  <c:v>2021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extLst>
                <c:ext xmlns:c15="http://schemas.microsoft.com/office/drawing/2012/chart" uri="{02D57815-91ED-43cb-92C2-25804820EDAC}">
                  <c15:fullRef>
                    <c15:sqref>'Camping Purchases'!$A$5:$A$11</c15:sqref>
                  </c15:fullRef>
                </c:ext>
              </c:extLst>
              <c:f>'Camping Purchases'!$A$5:$A$10</c:f>
              <c:strCache>
                <c:ptCount val="6"/>
                <c:pt idx="0">
                  <c:v>Under 14</c:v>
                </c:pt>
                <c:pt idx="1">
                  <c:v>14-17</c:v>
                </c:pt>
                <c:pt idx="2">
                  <c:v>18-24</c:v>
                </c:pt>
                <c:pt idx="3">
                  <c:v>25-34</c:v>
                </c:pt>
                <c:pt idx="4">
                  <c:v>35-44</c:v>
                </c:pt>
                <c:pt idx="5">
                  <c:v>45-64</c:v>
                </c:pt>
              </c:strCache>
            </c:strRef>
          </c:cat>
          <c:val>
            <c:numRef>
              <c:extLst>
                <c:ext xmlns:c15="http://schemas.microsoft.com/office/drawing/2012/chart" uri="{02D57815-91ED-43cb-92C2-25804820EDAC}">
                  <c15:fullRef>
                    <c15:sqref>'Camping Purchases'!$G$5:$G$11</c15:sqref>
                  </c15:fullRef>
                </c:ext>
              </c:extLst>
              <c:f>'Camping Purchases'!$G$5:$G$10</c:f>
              <c:numCache>
                <c:formatCode>0.00%</c:formatCode>
                <c:ptCount val="6"/>
                <c:pt idx="0">
                  <c:v>0.17</c:v>
                </c:pt>
                <c:pt idx="1">
                  <c:v>0.1</c:v>
                </c:pt>
                <c:pt idx="2">
                  <c:v>0.1</c:v>
                </c:pt>
                <c:pt idx="3">
                  <c:v>0.2</c:v>
                </c:pt>
                <c:pt idx="4">
                  <c:v>0.18</c:v>
                </c:pt>
                <c:pt idx="5">
                  <c:v>0.21</c:v>
                </c:pt>
              </c:numCache>
            </c:numRef>
          </c:val>
          <c:extLst>
            <c:ext xmlns:c16="http://schemas.microsoft.com/office/drawing/2014/chart" uri="{C3380CC4-5D6E-409C-BE32-E72D297353CC}">
              <c16:uniqueId val="{00000005-6C81-4A14-BFF0-522553CD1288}"/>
            </c:ext>
          </c:extLst>
        </c:ser>
        <c:dLbls>
          <c:showLegendKey val="0"/>
          <c:showVal val="0"/>
          <c:showCatName val="0"/>
          <c:showSerName val="0"/>
          <c:showPercent val="0"/>
          <c:showBubbleSize val="0"/>
        </c:dLbls>
        <c:axId val="1091821407"/>
        <c:axId val="1091830047"/>
      </c:areaChart>
      <c:catAx>
        <c:axId val="10918214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830047"/>
        <c:crosses val="autoZero"/>
        <c:auto val="1"/>
        <c:lblAlgn val="ctr"/>
        <c:lblOffset val="100"/>
        <c:noMultiLvlLbl val="0"/>
      </c:catAx>
      <c:valAx>
        <c:axId val="109183004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8214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S&amp;P</a:t>
            </a:r>
            <a:r>
              <a:rPr lang="en-US" baseline="0"/>
              <a:t> 500 OHLC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cat>
            <c:numRef>
              <c:f>'S &amp; P 500'!$A$4:$A$78</c:f>
              <c:numCache>
                <c:formatCode>m/d/yyyy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'S &amp; P 500'!$B$4:$B$78</c:f>
              <c:numCache>
                <c:formatCode>#,##0.00</c:formatCode>
                <c:ptCount val="75"/>
                <c:pt idx="0">
                  <c:v>6547.08</c:v>
                </c:pt>
                <c:pt idx="1">
                  <c:v>6503.33</c:v>
                </c:pt>
                <c:pt idx="2">
                  <c:v>6498.09</c:v>
                </c:pt>
                <c:pt idx="3">
                  <c:v>6529.08</c:v>
                </c:pt>
                <c:pt idx="4">
                  <c:v>6456.6</c:v>
                </c:pt>
                <c:pt idx="5">
                  <c:v>6445.82</c:v>
                </c:pt>
                <c:pt idx="6">
                  <c:v>6401.51</c:v>
                </c:pt>
                <c:pt idx="7">
                  <c:v>6489.28</c:v>
                </c:pt>
                <c:pt idx="8">
                  <c:v>6483.84</c:v>
                </c:pt>
                <c:pt idx="9">
                  <c:v>6462.26</c:v>
                </c:pt>
                <c:pt idx="10">
                  <c:v>6435.49</c:v>
                </c:pt>
                <c:pt idx="11">
                  <c:v>6457.67</c:v>
                </c:pt>
                <c:pt idx="12">
                  <c:v>6384.59</c:v>
                </c:pt>
                <c:pt idx="13">
                  <c:v>6380.83</c:v>
                </c:pt>
                <c:pt idx="14">
                  <c:v>6406.62</c:v>
                </c:pt>
                <c:pt idx="15">
                  <c:v>6446.24</c:v>
                </c:pt>
                <c:pt idx="16">
                  <c:v>6445.02</c:v>
                </c:pt>
                <c:pt idx="17">
                  <c:v>6477.38</c:v>
                </c:pt>
                <c:pt idx="18">
                  <c:v>6453.46</c:v>
                </c:pt>
                <c:pt idx="19">
                  <c:v>6462.67</c:v>
                </c:pt>
                <c:pt idx="20">
                  <c:v>6395.17</c:v>
                </c:pt>
                <c:pt idx="21">
                  <c:v>6389.67</c:v>
                </c:pt>
                <c:pt idx="22">
                  <c:v>6355.22</c:v>
                </c:pt>
                <c:pt idx="23">
                  <c:v>6374.32</c:v>
                </c:pt>
                <c:pt idx="24">
                  <c:v>6309.3</c:v>
                </c:pt>
                <c:pt idx="25">
                  <c:v>6336.63</c:v>
                </c:pt>
                <c:pt idx="26">
                  <c:v>6271.71</c:v>
                </c:pt>
                <c:pt idx="27">
                  <c:v>6287.28</c:v>
                </c:pt>
                <c:pt idx="28">
                  <c:v>6427.02</c:v>
                </c:pt>
                <c:pt idx="29">
                  <c:v>6381.23</c:v>
                </c:pt>
                <c:pt idx="30">
                  <c:v>6405.62</c:v>
                </c:pt>
                <c:pt idx="31">
                  <c:v>6397.69</c:v>
                </c:pt>
                <c:pt idx="32">
                  <c:v>6370.01</c:v>
                </c:pt>
                <c:pt idx="33">
                  <c:v>6368.6</c:v>
                </c:pt>
                <c:pt idx="34">
                  <c:v>6326.9</c:v>
                </c:pt>
                <c:pt idx="35">
                  <c:v>6306.6</c:v>
                </c:pt>
                <c:pt idx="36">
                  <c:v>6304.74</c:v>
                </c:pt>
                <c:pt idx="37">
                  <c:v>6312.95</c:v>
                </c:pt>
                <c:pt idx="38">
                  <c:v>6263.4</c:v>
                </c:pt>
                <c:pt idx="39">
                  <c:v>6254.5</c:v>
                </c:pt>
                <c:pt idx="40">
                  <c:v>6295.29</c:v>
                </c:pt>
                <c:pt idx="41">
                  <c:v>6255.15</c:v>
                </c:pt>
                <c:pt idx="42">
                  <c:v>6255.68</c:v>
                </c:pt>
                <c:pt idx="43">
                  <c:v>6266.8</c:v>
                </c:pt>
                <c:pt idx="44">
                  <c:v>6243.33</c:v>
                </c:pt>
                <c:pt idx="45">
                  <c:v>6234.03</c:v>
                </c:pt>
                <c:pt idx="46">
                  <c:v>6259.04</c:v>
                </c:pt>
                <c:pt idx="47">
                  <c:v>6246.46</c:v>
                </c:pt>
                <c:pt idx="48">
                  <c:v>6193.88</c:v>
                </c:pt>
                <c:pt idx="49">
                  <c:v>6187.25</c:v>
                </c:pt>
                <c:pt idx="50">
                  <c:v>6193.36</c:v>
                </c:pt>
                <c:pt idx="51">
                  <c:v>6150.7</c:v>
                </c:pt>
                <c:pt idx="52">
                  <c:v>6112.09</c:v>
                </c:pt>
                <c:pt idx="53">
                  <c:v>6104.23</c:v>
                </c:pt>
                <c:pt idx="54">
                  <c:v>6061.21</c:v>
                </c:pt>
                <c:pt idx="55">
                  <c:v>5969.67</c:v>
                </c:pt>
                <c:pt idx="56">
                  <c:v>5999.67</c:v>
                </c:pt>
                <c:pt idx="57">
                  <c:v>5987.93</c:v>
                </c:pt>
                <c:pt idx="58">
                  <c:v>6012.15</c:v>
                </c:pt>
                <c:pt idx="59">
                  <c:v>6004</c:v>
                </c:pt>
                <c:pt idx="60">
                  <c:v>6000.56</c:v>
                </c:pt>
                <c:pt idx="61">
                  <c:v>6009.9</c:v>
                </c:pt>
                <c:pt idx="62">
                  <c:v>6049.38</c:v>
                </c:pt>
                <c:pt idx="63">
                  <c:v>6009.91</c:v>
                </c:pt>
                <c:pt idx="64">
                  <c:v>6004.63</c:v>
                </c:pt>
                <c:pt idx="65">
                  <c:v>5987.06</c:v>
                </c:pt>
                <c:pt idx="66">
                  <c:v>5985.67</c:v>
                </c:pt>
                <c:pt idx="67">
                  <c:v>5978.94</c:v>
                </c:pt>
                <c:pt idx="68">
                  <c:v>5938.56</c:v>
                </c:pt>
                <c:pt idx="69">
                  <c:v>5896.68</c:v>
                </c:pt>
                <c:pt idx="70">
                  <c:v>5903.67</c:v>
                </c:pt>
                <c:pt idx="71">
                  <c:v>5939.96</c:v>
                </c:pt>
                <c:pt idx="72">
                  <c:v>5925.54</c:v>
                </c:pt>
                <c:pt idx="73">
                  <c:v>5854.07</c:v>
                </c:pt>
                <c:pt idx="74">
                  <c:v>5781.89</c:v>
                </c:pt>
              </c:numCache>
            </c:numRef>
          </c:val>
          <c:smooth val="0"/>
          <c:extLst>
            <c:ext xmlns:c16="http://schemas.microsoft.com/office/drawing/2014/chart" uri="{C3380CC4-5D6E-409C-BE32-E72D297353CC}">
              <c16:uniqueId val="{00000000-6903-454F-84A5-0C9F797C7964}"/>
            </c:ext>
          </c:extLst>
        </c:ser>
        <c:ser>
          <c:idx val="1"/>
          <c:order val="1"/>
          <c:spPr>
            <a:ln w="38100" cap="rnd">
              <a:noFill/>
              <a:round/>
            </a:ln>
            <a:effectLst/>
          </c:spPr>
          <c:marker>
            <c:symbol val="none"/>
          </c:marker>
          <c:cat>
            <c:numRef>
              <c:f>'S &amp; P 500'!$A$4:$A$78</c:f>
              <c:numCache>
                <c:formatCode>m/d/yyyy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'S &amp; P 500'!$C$4:$C$78</c:f>
              <c:numCache>
                <c:formatCode>#,##0.00</c:formatCode>
                <c:ptCount val="75"/>
                <c:pt idx="0">
                  <c:v>6555.97</c:v>
                </c:pt>
                <c:pt idx="1">
                  <c:v>6518.23</c:v>
                </c:pt>
                <c:pt idx="2">
                  <c:v>6508.67</c:v>
                </c:pt>
                <c:pt idx="3">
                  <c:v>6532.65</c:v>
                </c:pt>
                <c:pt idx="4">
                  <c:v>6502.54</c:v>
                </c:pt>
                <c:pt idx="5">
                  <c:v>6453.67</c:v>
                </c:pt>
                <c:pt idx="6">
                  <c:v>6416.54</c:v>
                </c:pt>
                <c:pt idx="7">
                  <c:v>6491.76</c:v>
                </c:pt>
                <c:pt idx="8">
                  <c:v>6508.23</c:v>
                </c:pt>
                <c:pt idx="9">
                  <c:v>6487.06</c:v>
                </c:pt>
                <c:pt idx="10">
                  <c:v>6468.37</c:v>
                </c:pt>
                <c:pt idx="11">
                  <c:v>6466.89</c:v>
                </c:pt>
                <c:pt idx="12">
                  <c:v>6478.89</c:v>
                </c:pt>
                <c:pt idx="13">
                  <c:v>6393.65</c:v>
                </c:pt>
                <c:pt idx="14">
                  <c:v>6408.4</c:v>
                </c:pt>
                <c:pt idx="15">
                  <c:v>6456.48</c:v>
                </c:pt>
                <c:pt idx="16">
                  <c:v>6455.35</c:v>
                </c:pt>
                <c:pt idx="17">
                  <c:v>6481.34</c:v>
                </c:pt>
                <c:pt idx="18">
                  <c:v>6473.92</c:v>
                </c:pt>
                <c:pt idx="19">
                  <c:v>6480.28</c:v>
                </c:pt>
                <c:pt idx="20">
                  <c:v>6446.55</c:v>
                </c:pt>
                <c:pt idx="21">
                  <c:v>6407.25</c:v>
                </c:pt>
                <c:pt idx="22">
                  <c:v>6395.16</c:v>
                </c:pt>
                <c:pt idx="23">
                  <c:v>6389.71</c:v>
                </c:pt>
                <c:pt idx="24">
                  <c:v>6352.83</c:v>
                </c:pt>
                <c:pt idx="25">
                  <c:v>6346</c:v>
                </c:pt>
                <c:pt idx="26">
                  <c:v>6330.69</c:v>
                </c:pt>
                <c:pt idx="27">
                  <c:v>6287.28</c:v>
                </c:pt>
                <c:pt idx="28">
                  <c:v>6427.02</c:v>
                </c:pt>
                <c:pt idx="29">
                  <c:v>6396.54</c:v>
                </c:pt>
                <c:pt idx="30">
                  <c:v>6409.26</c:v>
                </c:pt>
                <c:pt idx="31">
                  <c:v>6401.07</c:v>
                </c:pt>
                <c:pt idx="32">
                  <c:v>6395.82</c:v>
                </c:pt>
                <c:pt idx="33">
                  <c:v>6381.31</c:v>
                </c:pt>
                <c:pt idx="34">
                  <c:v>6360.64</c:v>
                </c:pt>
                <c:pt idx="35">
                  <c:v>6316.12</c:v>
                </c:pt>
                <c:pt idx="36">
                  <c:v>6336.08</c:v>
                </c:pt>
                <c:pt idx="37">
                  <c:v>6315.61</c:v>
                </c:pt>
                <c:pt idx="38">
                  <c:v>6304.69</c:v>
                </c:pt>
                <c:pt idx="39">
                  <c:v>6268.12</c:v>
                </c:pt>
                <c:pt idx="40">
                  <c:v>6302.04</c:v>
                </c:pt>
                <c:pt idx="41">
                  <c:v>6273.31</c:v>
                </c:pt>
                <c:pt idx="42">
                  <c:v>6269.44</c:v>
                </c:pt>
                <c:pt idx="43">
                  <c:v>6290.22</c:v>
                </c:pt>
                <c:pt idx="44">
                  <c:v>6269.16</c:v>
                </c:pt>
                <c:pt idx="45">
                  <c:v>6242.7</c:v>
                </c:pt>
                <c:pt idx="46">
                  <c:v>6262.07</c:v>
                </c:pt>
                <c:pt idx="47">
                  <c:v>6284.65</c:v>
                </c:pt>
                <c:pt idx="48">
                  <c:v>6227.6</c:v>
                </c:pt>
                <c:pt idx="49">
                  <c:v>6210.78</c:v>
                </c:pt>
                <c:pt idx="50">
                  <c:v>6215.08</c:v>
                </c:pt>
                <c:pt idx="51">
                  <c:v>6187.68</c:v>
                </c:pt>
                <c:pt idx="52">
                  <c:v>6146.52</c:v>
                </c:pt>
                <c:pt idx="53">
                  <c:v>6108.51</c:v>
                </c:pt>
                <c:pt idx="54">
                  <c:v>6101.76</c:v>
                </c:pt>
                <c:pt idx="55">
                  <c:v>6028.77</c:v>
                </c:pt>
                <c:pt idx="56">
                  <c:v>6018.2</c:v>
                </c:pt>
                <c:pt idx="57">
                  <c:v>6018.25</c:v>
                </c:pt>
                <c:pt idx="58">
                  <c:v>6023.25</c:v>
                </c:pt>
                <c:pt idx="59">
                  <c:v>6050.83</c:v>
                </c:pt>
                <c:pt idx="60">
                  <c:v>6026.16</c:v>
                </c:pt>
                <c:pt idx="61">
                  <c:v>6045.43</c:v>
                </c:pt>
                <c:pt idx="62">
                  <c:v>6059.4</c:v>
                </c:pt>
                <c:pt idx="63">
                  <c:v>6043.01</c:v>
                </c:pt>
                <c:pt idx="64">
                  <c:v>6021.31</c:v>
                </c:pt>
                <c:pt idx="65">
                  <c:v>6016.87</c:v>
                </c:pt>
                <c:pt idx="66">
                  <c:v>5999.7</c:v>
                </c:pt>
                <c:pt idx="67">
                  <c:v>5990.48</c:v>
                </c:pt>
                <c:pt idx="68">
                  <c:v>5981.35</c:v>
                </c:pt>
                <c:pt idx="69">
                  <c:v>5937.4</c:v>
                </c:pt>
                <c:pt idx="70">
                  <c:v>5922.14</c:v>
                </c:pt>
                <c:pt idx="71">
                  <c:v>5943.13</c:v>
                </c:pt>
                <c:pt idx="72">
                  <c:v>5939.92</c:v>
                </c:pt>
                <c:pt idx="73">
                  <c:v>5924.33</c:v>
                </c:pt>
                <c:pt idx="74">
                  <c:v>5829.51</c:v>
                </c:pt>
              </c:numCache>
            </c:numRef>
          </c:val>
          <c:smooth val="0"/>
          <c:extLst>
            <c:ext xmlns:c16="http://schemas.microsoft.com/office/drawing/2014/chart" uri="{C3380CC4-5D6E-409C-BE32-E72D297353CC}">
              <c16:uniqueId val="{00000001-6903-454F-84A5-0C9F797C7964}"/>
            </c:ext>
          </c:extLst>
        </c:ser>
        <c:ser>
          <c:idx val="2"/>
          <c:order val="2"/>
          <c:spPr>
            <a:ln w="38100" cap="rnd">
              <a:noFill/>
              <a:round/>
            </a:ln>
            <a:effectLst/>
          </c:spPr>
          <c:marker>
            <c:symbol val="none"/>
          </c:marker>
          <c:cat>
            <c:numRef>
              <c:f>'S &amp; P 500'!$A$4:$A$78</c:f>
              <c:numCache>
                <c:formatCode>m/d/yyyy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'S &amp; P 500'!$D$4:$D$78</c:f>
              <c:numCache>
                <c:formatCode>#,##0.00</c:formatCode>
                <c:ptCount val="75"/>
                <c:pt idx="0">
                  <c:v>6533.4</c:v>
                </c:pt>
                <c:pt idx="1">
                  <c:v>6483.08</c:v>
                </c:pt>
                <c:pt idx="2">
                  <c:v>6483.29</c:v>
                </c:pt>
                <c:pt idx="3">
                  <c:v>6443.98</c:v>
                </c:pt>
                <c:pt idx="4">
                  <c:v>6445.98</c:v>
                </c:pt>
                <c:pt idx="5">
                  <c:v>6416.17</c:v>
                </c:pt>
                <c:pt idx="6">
                  <c:v>6360.58</c:v>
                </c:pt>
                <c:pt idx="7">
                  <c:v>6444.57</c:v>
                </c:pt>
                <c:pt idx="8">
                  <c:v>6466.96</c:v>
                </c:pt>
                <c:pt idx="9">
                  <c:v>6457.84</c:v>
                </c:pt>
                <c:pt idx="10">
                  <c:v>6429.21</c:v>
                </c:pt>
                <c:pt idx="11">
                  <c:v>6438.06</c:v>
                </c:pt>
                <c:pt idx="12">
                  <c:v>6384.59</c:v>
                </c:pt>
                <c:pt idx="13">
                  <c:v>6352.71</c:v>
                </c:pt>
                <c:pt idx="14">
                  <c:v>6343.86</c:v>
                </c:pt>
                <c:pt idx="15">
                  <c:v>6400.22</c:v>
                </c:pt>
                <c:pt idx="16">
                  <c:v>6437.7</c:v>
                </c:pt>
                <c:pt idx="17">
                  <c:v>6441.85</c:v>
                </c:pt>
                <c:pt idx="18">
                  <c:v>6441.07</c:v>
                </c:pt>
                <c:pt idx="19">
                  <c:v>6445.02</c:v>
                </c:pt>
                <c:pt idx="20">
                  <c:v>6385.76</c:v>
                </c:pt>
                <c:pt idx="21">
                  <c:v>6364.06</c:v>
                </c:pt>
                <c:pt idx="22">
                  <c:v>6355.22</c:v>
                </c:pt>
                <c:pt idx="23">
                  <c:v>6310.32</c:v>
                </c:pt>
                <c:pt idx="24">
                  <c:v>6301.11</c:v>
                </c:pt>
                <c:pt idx="25">
                  <c:v>6289.37</c:v>
                </c:pt>
                <c:pt idx="26">
                  <c:v>6271.71</c:v>
                </c:pt>
                <c:pt idx="27">
                  <c:v>6212.69</c:v>
                </c:pt>
                <c:pt idx="28">
                  <c:v>6327.64</c:v>
                </c:pt>
                <c:pt idx="29">
                  <c:v>6336.38</c:v>
                </c:pt>
                <c:pt idx="30">
                  <c:v>6363.92</c:v>
                </c:pt>
                <c:pt idx="31">
                  <c:v>6375.79</c:v>
                </c:pt>
                <c:pt idx="32">
                  <c:v>6368.53</c:v>
                </c:pt>
                <c:pt idx="33">
                  <c:v>6360.57</c:v>
                </c:pt>
                <c:pt idx="34">
                  <c:v>6317.49</c:v>
                </c:pt>
                <c:pt idx="35">
                  <c:v>6281.71</c:v>
                </c:pt>
                <c:pt idx="36">
                  <c:v>6303.79</c:v>
                </c:pt>
                <c:pt idx="37">
                  <c:v>6285.27</c:v>
                </c:pt>
                <c:pt idx="38">
                  <c:v>6262.27</c:v>
                </c:pt>
                <c:pt idx="39">
                  <c:v>6201.59</c:v>
                </c:pt>
                <c:pt idx="40">
                  <c:v>6241.68</c:v>
                </c:pt>
                <c:pt idx="41">
                  <c:v>6239.22</c:v>
                </c:pt>
                <c:pt idx="42">
                  <c:v>6237.6</c:v>
                </c:pt>
                <c:pt idx="43">
                  <c:v>6251.44</c:v>
                </c:pt>
                <c:pt idx="44">
                  <c:v>6231.43</c:v>
                </c:pt>
                <c:pt idx="45">
                  <c:v>6217.75</c:v>
                </c:pt>
                <c:pt idx="46">
                  <c:v>6201</c:v>
                </c:pt>
                <c:pt idx="47">
                  <c:v>6246.46</c:v>
                </c:pt>
                <c:pt idx="48">
                  <c:v>6188.29</c:v>
                </c:pt>
                <c:pt idx="49">
                  <c:v>6177.97</c:v>
                </c:pt>
                <c:pt idx="50">
                  <c:v>6174.97</c:v>
                </c:pt>
                <c:pt idx="51">
                  <c:v>6132.35</c:v>
                </c:pt>
                <c:pt idx="52">
                  <c:v>6107.27</c:v>
                </c:pt>
                <c:pt idx="53">
                  <c:v>6080.09</c:v>
                </c:pt>
                <c:pt idx="54">
                  <c:v>6059.25</c:v>
                </c:pt>
                <c:pt idx="55">
                  <c:v>5943.23</c:v>
                </c:pt>
                <c:pt idx="56">
                  <c:v>5952.56</c:v>
                </c:pt>
                <c:pt idx="57">
                  <c:v>5971.89</c:v>
                </c:pt>
                <c:pt idx="58">
                  <c:v>5974.8</c:v>
                </c:pt>
                <c:pt idx="59">
                  <c:v>6004</c:v>
                </c:pt>
                <c:pt idx="60">
                  <c:v>5963.21</c:v>
                </c:pt>
                <c:pt idx="61">
                  <c:v>6003.88</c:v>
                </c:pt>
                <c:pt idx="62">
                  <c:v>6002.32</c:v>
                </c:pt>
                <c:pt idx="63">
                  <c:v>6000.28</c:v>
                </c:pt>
                <c:pt idx="64">
                  <c:v>5994.18</c:v>
                </c:pt>
                <c:pt idx="65">
                  <c:v>5978.63</c:v>
                </c:pt>
                <c:pt idx="66">
                  <c:v>5921.2</c:v>
                </c:pt>
                <c:pt idx="67">
                  <c:v>5966.11</c:v>
                </c:pt>
                <c:pt idx="68">
                  <c:v>5929</c:v>
                </c:pt>
                <c:pt idx="69">
                  <c:v>5861.43</c:v>
                </c:pt>
                <c:pt idx="70">
                  <c:v>5843.66</c:v>
                </c:pt>
                <c:pt idx="71">
                  <c:v>5873.8</c:v>
                </c:pt>
                <c:pt idx="72">
                  <c:v>5881.88</c:v>
                </c:pt>
                <c:pt idx="73">
                  <c:v>5854.07</c:v>
                </c:pt>
                <c:pt idx="74">
                  <c:v>5767.41</c:v>
                </c:pt>
              </c:numCache>
            </c:numRef>
          </c:val>
          <c:smooth val="0"/>
          <c:extLst>
            <c:ext xmlns:c16="http://schemas.microsoft.com/office/drawing/2014/chart" uri="{C3380CC4-5D6E-409C-BE32-E72D297353CC}">
              <c16:uniqueId val="{00000002-6903-454F-84A5-0C9F797C7964}"/>
            </c:ext>
          </c:extLst>
        </c:ser>
        <c:ser>
          <c:idx val="3"/>
          <c:order val="3"/>
          <c:spPr>
            <a:ln w="38100" cap="rnd">
              <a:noFill/>
              <a:round/>
            </a:ln>
            <a:effectLst/>
          </c:spPr>
          <c:marker>
            <c:symbol val="none"/>
          </c:marker>
          <c:cat>
            <c:numRef>
              <c:f>'S &amp; P 500'!$A$4:$A$78</c:f>
              <c:numCache>
                <c:formatCode>m/d/yyyy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'S &amp; P 500'!$E$4:$E$78</c:f>
              <c:numCache>
                <c:formatCode>#,##0.00</c:formatCode>
                <c:ptCount val="75"/>
                <c:pt idx="0">
                  <c:v>6539.42</c:v>
                </c:pt>
                <c:pt idx="1">
                  <c:v>6512.61</c:v>
                </c:pt>
                <c:pt idx="2">
                  <c:v>6495.15</c:v>
                </c:pt>
                <c:pt idx="3">
                  <c:v>6481.5</c:v>
                </c:pt>
                <c:pt idx="4">
                  <c:v>6502.08</c:v>
                </c:pt>
                <c:pt idx="5">
                  <c:v>6448.26</c:v>
                </c:pt>
                <c:pt idx="6">
                  <c:v>6415.54</c:v>
                </c:pt>
                <c:pt idx="7">
                  <c:v>6460.26</c:v>
                </c:pt>
                <c:pt idx="8">
                  <c:v>6501.86</c:v>
                </c:pt>
                <c:pt idx="9">
                  <c:v>6481.4</c:v>
                </c:pt>
                <c:pt idx="10">
                  <c:v>6465.94</c:v>
                </c:pt>
                <c:pt idx="11">
                  <c:v>6439.32</c:v>
                </c:pt>
                <c:pt idx="12">
                  <c:v>6466.91</c:v>
                </c:pt>
                <c:pt idx="13">
                  <c:v>6370.17</c:v>
                </c:pt>
                <c:pt idx="14">
                  <c:v>6395.78</c:v>
                </c:pt>
                <c:pt idx="15">
                  <c:v>6411.37</c:v>
                </c:pt>
                <c:pt idx="16">
                  <c:v>6449.15</c:v>
                </c:pt>
                <c:pt idx="17">
                  <c:v>6449.8</c:v>
                </c:pt>
                <c:pt idx="18">
                  <c:v>6468.54</c:v>
                </c:pt>
                <c:pt idx="19">
                  <c:v>6466.58</c:v>
                </c:pt>
                <c:pt idx="20">
                  <c:v>6445.76</c:v>
                </c:pt>
                <c:pt idx="21">
                  <c:v>6373.45</c:v>
                </c:pt>
                <c:pt idx="22">
                  <c:v>6389.45</c:v>
                </c:pt>
                <c:pt idx="23">
                  <c:v>6340</c:v>
                </c:pt>
                <c:pt idx="24">
                  <c:v>6345.06</c:v>
                </c:pt>
                <c:pt idx="25">
                  <c:v>6299.19</c:v>
                </c:pt>
                <c:pt idx="26">
                  <c:v>6329.94</c:v>
                </c:pt>
                <c:pt idx="27">
                  <c:v>6238.01</c:v>
                </c:pt>
                <c:pt idx="28">
                  <c:v>6339.39</c:v>
                </c:pt>
                <c:pt idx="29">
                  <c:v>6362.9</c:v>
                </c:pt>
                <c:pt idx="30">
                  <c:v>6370.86</c:v>
                </c:pt>
                <c:pt idx="31">
                  <c:v>6389.77</c:v>
                </c:pt>
                <c:pt idx="32">
                  <c:v>6388.64</c:v>
                </c:pt>
                <c:pt idx="33">
                  <c:v>6363.35</c:v>
                </c:pt>
                <c:pt idx="34">
                  <c:v>6358.91</c:v>
                </c:pt>
                <c:pt idx="35">
                  <c:v>6309.62</c:v>
                </c:pt>
                <c:pt idx="36">
                  <c:v>6305.6</c:v>
                </c:pt>
                <c:pt idx="37">
                  <c:v>6296.79</c:v>
                </c:pt>
                <c:pt idx="38">
                  <c:v>6297.36</c:v>
                </c:pt>
                <c:pt idx="39">
                  <c:v>6263.7</c:v>
                </c:pt>
                <c:pt idx="40">
                  <c:v>6243.76</c:v>
                </c:pt>
                <c:pt idx="41">
                  <c:v>6268.56</c:v>
                </c:pt>
                <c:pt idx="42">
                  <c:v>6259.75</c:v>
                </c:pt>
                <c:pt idx="43">
                  <c:v>6280.46</c:v>
                </c:pt>
                <c:pt idx="44">
                  <c:v>6263.26</c:v>
                </c:pt>
                <c:pt idx="45">
                  <c:v>6225.52</c:v>
                </c:pt>
                <c:pt idx="46">
                  <c:v>6229.98</c:v>
                </c:pt>
                <c:pt idx="47">
                  <c:v>6279.35</c:v>
                </c:pt>
                <c:pt idx="48">
                  <c:v>6227.42</c:v>
                </c:pt>
                <c:pt idx="49">
                  <c:v>6198.01</c:v>
                </c:pt>
                <c:pt idx="50">
                  <c:v>6204.95</c:v>
                </c:pt>
                <c:pt idx="51">
                  <c:v>6173.07</c:v>
                </c:pt>
                <c:pt idx="52">
                  <c:v>6141.02</c:v>
                </c:pt>
                <c:pt idx="53">
                  <c:v>6092.16</c:v>
                </c:pt>
                <c:pt idx="54">
                  <c:v>6092.18</c:v>
                </c:pt>
                <c:pt idx="55">
                  <c:v>6025.17</c:v>
                </c:pt>
                <c:pt idx="56">
                  <c:v>5967.84</c:v>
                </c:pt>
                <c:pt idx="57">
                  <c:v>5980.87</c:v>
                </c:pt>
                <c:pt idx="58">
                  <c:v>5982.72</c:v>
                </c:pt>
                <c:pt idx="59">
                  <c:v>6033.11</c:v>
                </c:pt>
                <c:pt idx="60">
                  <c:v>5976.97</c:v>
                </c:pt>
                <c:pt idx="61">
                  <c:v>6045.26</c:v>
                </c:pt>
                <c:pt idx="62">
                  <c:v>6022.24</c:v>
                </c:pt>
                <c:pt idx="63">
                  <c:v>6038.81</c:v>
                </c:pt>
                <c:pt idx="64">
                  <c:v>6005.88</c:v>
                </c:pt>
                <c:pt idx="65">
                  <c:v>6000.36</c:v>
                </c:pt>
                <c:pt idx="66">
                  <c:v>5939.3</c:v>
                </c:pt>
                <c:pt idx="67">
                  <c:v>5970.81</c:v>
                </c:pt>
                <c:pt idx="68">
                  <c:v>5970.37</c:v>
                </c:pt>
                <c:pt idx="69">
                  <c:v>5935.94</c:v>
                </c:pt>
                <c:pt idx="70">
                  <c:v>5911.69</c:v>
                </c:pt>
                <c:pt idx="71">
                  <c:v>5912.17</c:v>
                </c:pt>
                <c:pt idx="72">
                  <c:v>5888.55</c:v>
                </c:pt>
                <c:pt idx="73">
                  <c:v>5921.54</c:v>
                </c:pt>
                <c:pt idx="74">
                  <c:v>5802.82</c:v>
                </c:pt>
              </c:numCache>
            </c:numRef>
          </c:val>
          <c:smooth val="0"/>
          <c:extLst>
            <c:ext xmlns:c16="http://schemas.microsoft.com/office/drawing/2014/chart" uri="{C3380CC4-5D6E-409C-BE32-E72D297353CC}">
              <c16:uniqueId val="{00000003-6903-454F-84A5-0C9F797C796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B050"/>
              </a:solidFill>
              <a:ln w="9525" cap="flat" cmpd="sng" algn="ctr">
                <a:solidFill>
                  <a:schemeClr val="tx1">
                    <a:lumMod val="65000"/>
                    <a:lumOff val="35000"/>
                  </a:schemeClr>
                </a:solidFill>
                <a:round/>
              </a:ln>
              <a:effectLst/>
            </c:spPr>
          </c:upBars>
          <c:downBars>
            <c:spPr>
              <a:solidFill>
                <a:srgbClr val="FF0000"/>
              </a:solidFill>
              <a:ln w="9525" cap="flat" cmpd="sng" algn="ctr">
                <a:solidFill>
                  <a:schemeClr val="tx1">
                    <a:lumMod val="65000"/>
                    <a:lumOff val="35000"/>
                  </a:schemeClr>
                </a:solidFill>
                <a:round/>
              </a:ln>
              <a:effectLst/>
            </c:spPr>
          </c:downBars>
        </c:upDownBars>
        <c:axId val="67536143"/>
        <c:axId val="67534703"/>
      </c:stockChart>
      <c:dateAx>
        <c:axId val="6753614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4703"/>
        <c:crosses val="autoZero"/>
        <c:auto val="1"/>
        <c:lblOffset val="100"/>
        <c:baseTimeUnit val="days"/>
      </c:dateAx>
      <c:valAx>
        <c:axId val="67534703"/>
        <c:scaling>
          <c:orientation val="minMax"/>
          <c:max val="6600"/>
          <c:min val="5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753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S&amp;P 500</c:v>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numRef>
              <c:f>'S &amp; P 500'!$A$4:$A$254</c:f>
              <c:numCache>
                <c:formatCode>m/d/yyyy</c:formatCode>
                <c:ptCount val="251"/>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pt idx="75">
                  <c:v>45921</c:v>
                </c:pt>
                <c:pt idx="76">
                  <c:v>45920</c:v>
                </c:pt>
                <c:pt idx="77">
                  <c:v>45919</c:v>
                </c:pt>
                <c:pt idx="78">
                  <c:v>45918</c:v>
                </c:pt>
                <c:pt idx="79">
                  <c:v>45915</c:v>
                </c:pt>
                <c:pt idx="80">
                  <c:v>45914</c:v>
                </c:pt>
                <c:pt idx="81">
                  <c:v>45913</c:v>
                </c:pt>
                <c:pt idx="82">
                  <c:v>45912</c:v>
                </c:pt>
                <c:pt idx="83">
                  <c:v>45911</c:v>
                </c:pt>
                <c:pt idx="84">
                  <c:v>45908</c:v>
                </c:pt>
                <c:pt idx="85">
                  <c:v>45907</c:v>
                </c:pt>
                <c:pt idx="86">
                  <c:v>45906</c:v>
                </c:pt>
                <c:pt idx="87">
                  <c:v>45905</c:v>
                </c:pt>
                <c:pt idx="88">
                  <c:v>45904</c:v>
                </c:pt>
                <c:pt idx="89">
                  <c:v>45901</c:v>
                </c:pt>
                <c:pt idx="90">
                  <c:v>45900</c:v>
                </c:pt>
                <c:pt idx="91">
                  <c:v>45899</c:v>
                </c:pt>
                <c:pt idx="92">
                  <c:v>45898</c:v>
                </c:pt>
                <c:pt idx="93">
                  <c:v>45897</c:v>
                </c:pt>
                <c:pt idx="94">
                  <c:v>45894</c:v>
                </c:pt>
                <c:pt idx="95">
                  <c:v>45893</c:v>
                </c:pt>
                <c:pt idx="96">
                  <c:v>45892</c:v>
                </c:pt>
                <c:pt idx="97">
                  <c:v>45891</c:v>
                </c:pt>
                <c:pt idx="98">
                  <c:v>45890</c:v>
                </c:pt>
                <c:pt idx="99">
                  <c:v>45886</c:v>
                </c:pt>
                <c:pt idx="100">
                  <c:v>45885</c:v>
                </c:pt>
                <c:pt idx="101">
                  <c:v>45884</c:v>
                </c:pt>
                <c:pt idx="102">
                  <c:v>45883</c:v>
                </c:pt>
                <c:pt idx="103">
                  <c:v>45880</c:v>
                </c:pt>
                <c:pt idx="104">
                  <c:v>45879</c:v>
                </c:pt>
                <c:pt idx="105">
                  <c:v>45878</c:v>
                </c:pt>
                <c:pt idx="106">
                  <c:v>45877</c:v>
                </c:pt>
                <c:pt idx="107">
                  <c:v>45876</c:v>
                </c:pt>
                <c:pt idx="108">
                  <c:v>45873</c:v>
                </c:pt>
                <c:pt idx="109">
                  <c:v>45872</c:v>
                </c:pt>
                <c:pt idx="110">
                  <c:v>45871</c:v>
                </c:pt>
                <c:pt idx="111">
                  <c:v>45870</c:v>
                </c:pt>
                <c:pt idx="112">
                  <c:v>45869</c:v>
                </c:pt>
                <c:pt idx="113">
                  <c:v>45866</c:v>
                </c:pt>
                <c:pt idx="114">
                  <c:v>45865</c:v>
                </c:pt>
                <c:pt idx="115">
                  <c:v>45864</c:v>
                </c:pt>
                <c:pt idx="116">
                  <c:v>45863</c:v>
                </c:pt>
                <c:pt idx="117">
                  <c:v>45862</c:v>
                </c:pt>
                <c:pt idx="118">
                  <c:v>45859</c:v>
                </c:pt>
                <c:pt idx="119">
                  <c:v>45858</c:v>
                </c:pt>
                <c:pt idx="120">
                  <c:v>45857</c:v>
                </c:pt>
                <c:pt idx="121">
                  <c:v>45856</c:v>
                </c:pt>
                <c:pt idx="122">
                  <c:v>45855</c:v>
                </c:pt>
                <c:pt idx="123">
                  <c:v>45852</c:v>
                </c:pt>
                <c:pt idx="124">
                  <c:v>45851</c:v>
                </c:pt>
                <c:pt idx="125">
                  <c:v>45850</c:v>
                </c:pt>
                <c:pt idx="126">
                  <c:v>45849</c:v>
                </c:pt>
                <c:pt idx="127">
                  <c:v>45848</c:v>
                </c:pt>
                <c:pt idx="128">
                  <c:v>45845</c:v>
                </c:pt>
                <c:pt idx="129">
                  <c:v>45844</c:v>
                </c:pt>
                <c:pt idx="130">
                  <c:v>45843</c:v>
                </c:pt>
                <c:pt idx="131">
                  <c:v>45842</c:v>
                </c:pt>
                <c:pt idx="132">
                  <c:v>45841</c:v>
                </c:pt>
                <c:pt idx="133">
                  <c:v>45838</c:v>
                </c:pt>
                <c:pt idx="134">
                  <c:v>45837</c:v>
                </c:pt>
                <c:pt idx="135">
                  <c:v>45836</c:v>
                </c:pt>
                <c:pt idx="136">
                  <c:v>45835</c:v>
                </c:pt>
                <c:pt idx="137">
                  <c:v>45834</c:v>
                </c:pt>
                <c:pt idx="138">
                  <c:v>45831</c:v>
                </c:pt>
                <c:pt idx="139">
                  <c:v>45830</c:v>
                </c:pt>
                <c:pt idx="140">
                  <c:v>45829</c:v>
                </c:pt>
                <c:pt idx="141">
                  <c:v>45828</c:v>
                </c:pt>
                <c:pt idx="142">
                  <c:v>45824</c:v>
                </c:pt>
                <c:pt idx="143">
                  <c:v>45823</c:v>
                </c:pt>
                <c:pt idx="144">
                  <c:v>45822</c:v>
                </c:pt>
                <c:pt idx="145">
                  <c:v>45821</c:v>
                </c:pt>
                <c:pt idx="146">
                  <c:v>45820</c:v>
                </c:pt>
                <c:pt idx="147">
                  <c:v>45817</c:v>
                </c:pt>
                <c:pt idx="148">
                  <c:v>45816</c:v>
                </c:pt>
                <c:pt idx="149">
                  <c:v>45815</c:v>
                </c:pt>
                <c:pt idx="150">
                  <c:v>45814</c:v>
                </c:pt>
                <c:pt idx="151">
                  <c:v>45813</c:v>
                </c:pt>
                <c:pt idx="152">
                  <c:v>45810</c:v>
                </c:pt>
                <c:pt idx="153">
                  <c:v>45809</c:v>
                </c:pt>
                <c:pt idx="154">
                  <c:v>45808</c:v>
                </c:pt>
                <c:pt idx="155">
                  <c:v>45807</c:v>
                </c:pt>
                <c:pt idx="156">
                  <c:v>45806</c:v>
                </c:pt>
                <c:pt idx="157">
                  <c:v>45803</c:v>
                </c:pt>
                <c:pt idx="158">
                  <c:v>45802</c:v>
                </c:pt>
                <c:pt idx="159">
                  <c:v>45801</c:v>
                </c:pt>
                <c:pt idx="160">
                  <c:v>45800</c:v>
                </c:pt>
                <c:pt idx="161">
                  <c:v>45796</c:v>
                </c:pt>
                <c:pt idx="162">
                  <c:v>45795</c:v>
                </c:pt>
                <c:pt idx="163">
                  <c:v>45794</c:v>
                </c:pt>
                <c:pt idx="164">
                  <c:v>45793</c:v>
                </c:pt>
                <c:pt idx="165">
                  <c:v>45792</c:v>
                </c:pt>
                <c:pt idx="166">
                  <c:v>45789</c:v>
                </c:pt>
                <c:pt idx="167">
                  <c:v>45787</c:v>
                </c:pt>
                <c:pt idx="168">
                  <c:v>45786</c:v>
                </c:pt>
                <c:pt idx="169">
                  <c:v>45785</c:v>
                </c:pt>
                <c:pt idx="170">
                  <c:v>45782</c:v>
                </c:pt>
                <c:pt idx="171">
                  <c:v>45781</c:v>
                </c:pt>
                <c:pt idx="172">
                  <c:v>45779</c:v>
                </c:pt>
                <c:pt idx="173">
                  <c:v>45778</c:v>
                </c:pt>
                <c:pt idx="174">
                  <c:v>45775</c:v>
                </c:pt>
                <c:pt idx="175">
                  <c:v>45774</c:v>
                </c:pt>
                <c:pt idx="176">
                  <c:v>45772</c:v>
                </c:pt>
                <c:pt idx="177">
                  <c:v>45771</c:v>
                </c:pt>
                <c:pt idx="178">
                  <c:v>45768</c:v>
                </c:pt>
                <c:pt idx="179">
                  <c:v>45767</c:v>
                </c:pt>
                <c:pt idx="180">
                  <c:v>45766</c:v>
                </c:pt>
                <c:pt idx="181">
                  <c:v>45765</c:v>
                </c:pt>
                <c:pt idx="182">
                  <c:v>45764</c:v>
                </c:pt>
                <c:pt idx="183">
                  <c:v>45761</c:v>
                </c:pt>
                <c:pt idx="184">
                  <c:v>45760</c:v>
                </c:pt>
                <c:pt idx="185">
                  <c:v>45759</c:v>
                </c:pt>
                <c:pt idx="186">
                  <c:v>45758</c:v>
                </c:pt>
                <c:pt idx="187">
                  <c:v>45757</c:v>
                </c:pt>
                <c:pt idx="188">
                  <c:v>45754</c:v>
                </c:pt>
                <c:pt idx="189">
                  <c:v>45753</c:v>
                </c:pt>
                <c:pt idx="190">
                  <c:v>45752</c:v>
                </c:pt>
                <c:pt idx="191">
                  <c:v>45751</c:v>
                </c:pt>
                <c:pt idx="192">
                  <c:v>45750</c:v>
                </c:pt>
                <c:pt idx="193">
                  <c:v>45747</c:v>
                </c:pt>
                <c:pt idx="194">
                  <c:v>45745</c:v>
                </c:pt>
                <c:pt idx="195">
                  <c:v>45744</c:v>
                </c:pt>
                <c:pt idx="196">
                  <c:v>45743</c:v>
                </c:pt>
                <c:pt idx="197">
                  <c:v>45740</c:v>
                </c:pt>
                <c:pt idx="198">
                  <c:v>45739</c:v>
                </c:pt>
                <c:pt idx="199">
                  <c:v>45738</c:v>
                </c:pt>
                <c:pt idx="200">
                  <c:v>45737</c:v>
                </c:pt>
                <c:pt idx="201">
                  <c:v>45736</c:v>
                </c:pt>
                <c:pt idx="202">
                  <c:v>45733</c:v>
                </c:pt>
                <c:pt idx="203">
                  <c:v>45732</c:v>
                </c:pt>
                <c:pt idx="204">
                  <c:v>45731</c:v>
                </c:pt>
                <c:pt idx="205">
                  <c:v>45730</c:v>
                </c:pt>
                <c:pt idx="206">
                  <c:v>45729</c:v>
                </c:pt>
                <c:pt idx="207">
                  <c:v>45726</c:v>
                </c:pt>
                <c:pt idx="208">
                  <c:v>45725</c:v>
                </c:pt>
                <c:pt idx="209">
                  <c:v>45724</c:v>
                </c:pt>
                <c:pt idx="210">
                  <c:v>45723</c:v>
                </c:pt>
                <c:pt idx="211">
                  <c:v>45722</c:v>
                </c:pt>
                <c:pt idx="212">
                  <c:v>45719</c:v>
                </c:pt>
                <c:pt idx="213">
                  <c:v>45718</c:v>
                </c:pt>
                <c:pt idx="214">
                  <c:v>45717</c:v>
                </c:pt>
                <c:pt idx="215">
                  <c:v>45716</c:v>
                </c:pt>
                <c:pt idx="216">
                  <c:v>45715</c:v>
                </c:pt>
                <c:pt idx="217">
                  <c:v>45712</c:v>
                </c:pt>
                <c:pt idx="218">
                  <c:v>45711</c:v>
                </c:pt>
                <c:pt idx="219">
                  <c:v>45710</c:v>
                </c:pt>
                <c:pt idx="220">
                  <c:v>45709</c:v>
                </c:pt>
                <c:pt idx="221">
                  <c:v>45708</c:v>
                </c:pt>
                <c:pt idx="222">
                  <c:v>45705</c:v>
                </c:pt>
                <c:pt idx="223">
                  <c:v>45704</c:v>
                </c:pt>
                <c:pt idx="224">
                  <c:v>45703</c:v>
                </c:pt>
                <c:pt idx="225">
                  <c:v>45702</c:v>
                </c:pt>
                <c:pt idx="226">
                  <c:v>45701</c:v>
                </c:pt>
                <c:pt idx="227">
                  <c:v>45698</c:v>
                </c:pt>
                <c:pt idx="228">
                  <c:v>45697</c:v>
                </c:pt>
                <c:pt idx="229">
                  <c:v>45696</c:v>
                </c:pt>
                <c:pt idx="230">
                  <c:v>45695</c:v>
                </c:pt>
                <c:pt idx="231">
                  <c:v>45694</c:v>
                </c:pt>
                <c:pt idx="232">
                  <c:v>45691</c:v>
                </c:pt>
                <c:pt idx="233">
                  <c:v>45690</c:v>
                </c:pt>
                <c:pt idx="234">
                  <c:v>45689</c:v>
                </c:pt>
                <c:pt idx="235">
                  <c:v>45688</c:v>
                </c:pt>
                <c:pt idx="236">
                  <c:v>45687</c:v>
                </c:pt>
                <c:pt idx="237">
                  <c:v>45684</c:v>
                </c:pt>
                <c:pt idx="238">
                  <c:v>45683</c:v>
                </c:pt>
                <c:pt idx="239">
                  <c:v>45682</c:v>
                </c:pt>
                <c:pt idx="240">
                  <c:v>45681</c:v>
                </c:pt>
                <c:pt idx="241">
                  <c:v>45680</c:v>
                </c:pt>
                <c:pt idx="242">
                  <c:v>45677</c:v>
                </c:pt>
                <c:pt idx="243">
                  <c:v>45676</c:v>
                </c:pt>
                <c:pt idx="244">
                  <c:v>45675</c:v>
                </c:pt>
                <c:pt idx="245">
                  <c:v>45674</c:v>
                </c:pt>
                <c:pt idx="246">
                  <c:v>45673</c:v>
                </c:pt>
                <c:pt idx="247">
                  <c:v>45670</c:v>
                </c:pt>
                <c:pt idx="248">
                  <c:v>45669</c:v>
                </c:pt>
                <c:pt idx="249">
                  <c:v>45668</c:v>
                </c:pt>
                <c:pt idx="250">
                  <c:v>45667</c:v>
                </c:pt>
              </c:numCache>
            </c:numRef>
          </c:cat>
          <c:val>
            <c:numRef>
              <c:f>'S &amp; P 500'!$E$4:$E$254</c:f>
              <c:numCache>
                <c:formatCode>#,##0.00</c:formatCode>
                <c:ptCount val="251"/>
                <c:pt idx="0">
                  <c:v>6539.42</c:v>
                </c:pt>
                <c:pt idx="1">
                  <c:v>6512.61</c:v>
                </c:pt>
                <c:pt idx="2">
                  <c:v>6495.15</c:v>
                </c:pt>
                <c:pt idx="3">
                  <c:v>6481.5</c:v>
                </c:pt>
                <c:pt idx="4">
                  <c:v>6502.08</c:v>
                </c:pt>
                <c:pt idx="5">
                  <c:v>6448.26</c:v>
                </c:pt>
                <c:pt idx="6">
                  <c:v>6415.54</c:v>
                </c:pt>
                <c:pt idx="7">
                  <c:v>6460.26</c:v>
                </c:pt>
                <c:pt idx="8">
                  <c:v>6501.86</c:v>
                </c:pt>
                <c:pt idx="9">
                  <c:v>6481.4</c:v>
                </c:pt>
                <c:pt idx="10">
                  <c:v>6465.94</c:v>
                </c:pt>
                <c:pt idx="11">
                  <c:v>6439.32</c:v>
                </c:pt>
                <c:pt idx="12">
                  <c:v>6466.91</c:v>
                </c:pt>
                <c:pt idx="13">
                  <c:v>6370.17</c:v>
                </c:pt>
                <c:pt idx="14">
                  <c:v>6395.78</c:v>
                </c:pt>
                <c:pt idx="15">
                  <c:v>6411.37</c:v>
                </c:pt>
                <c:pt idx="16">
                  <c:v>6449.15</c:v>
                </c:pt>
                <c:pt idx="17">
                  <c:v>6449.8</c:v>
                </c:pt>
                <c:pt idx="18">
                  <c:v>6468.54</c:v>
                </c:pt>
                <c:pt idx="19">
                  <c:v>6466.58</c:v>
                </c:pt>
                <c:pt idx="20">
                  <c:v>6445.76</c:v>
                </c:pt>
                <c:pt idx="21">
                  <c:v>6373.45</c:v>
                </c:pt>
                <c:pt idx="22">
                  <c:v>6389.45</c:v>
                </c:pt>
                <c:pt idx="23">
                  <c:v>6340</c:v>
                </c:pt>
                <c:pt idx="24">
                  <c:v>6345.06</c:v>
                </c:pt>
                <c:pt idx="25">
                  <c:v>6299.19</c:v>
                </c:pt>
                <c:pt idx="26">
                  <c:v>6329.94</c:v>
                </c:pt>
                <c:pt idx="27">
                  <c:v>6238.01</c:v>
                </c:pt>
                <c:pt idx="28">
                  <c:v>6339.39</c:v>
                </c:pt>
                <c:pt idx="29">
                  <c:v>6362.9</c:v>
                </c:pt>
                <c:pt idx="30">
                  <c:v>6370.86</c:v>
                </c:pt>
                <c:pt idx="31">
                  <c:v>6389.77</c:v>
                </c:pt>
                <c:pt idx="32">
                  <c:v>6388.64</c:v>
                </c:pt>
                <c:pt idx="33">
                  <c:v>6363.35</c:v>
                </c:pt>
                <c:pt idx="34">
                  <c:v>6358.91</c:v>
                </c:pt>
                <c:pt idx="35">
                  <c:v>6309.62</c:v>
                </c:pt>
                <c:pt idx="36">
                  <c:v>6305.6</c:v>
                </c:pt>
                <c:pt idx="37">
                  <c:v>6296.79</c:v>
                </c:pt>
                <c:pt idx="38">
                  <c:v>6297.36</c:v>
                </c:pt>
                <c:pt idx="39">
                  <c:v>6263.7</c:v>
                </c:pt>
                <c:pt idx="40">
                  <c:v>6243.76</c:v>
                </c:pt>
                <c:pt idx="41">
                  <c:v>6268.56</c:v>
                </c:pt>
                <c:pt idx="42">
                  <c:v>6259.75</c:v>
                </c:pt>
                <c:pt idx="43">
                  <c:v>6280.46</c:v>
                </c:pt>
                <c:pt idx="44">
                  <c:v>6263.26</c:v>
                </c:pt>
                <c:pt idx="45">
                  <c:v>6225.52</c:v>
                </c:pt>
                <c:pt idx="46">
                  <c:v>6229.98</c:v>
                </c:pt>
                <c:pt idx="47">
                  <c:v>6279.35</c:v>
                </c:pt>
                <c:pt idx="48">
                  <c:v>6227.42</c:v>
                </c:pt>
                <c:pt idx="49">
                  <c:v>6198.01</c:v>
                </c:pt>
                <c:pt idx="50">
                  <c:v>6204.95</c:v>
                </c:pt>
                <c:pt idx="51">
                  <c:v>6173.07</c:v>
                </c:pt>
                <c:pt idx="52">
                  <c:v>6141.02</c:v>
                </c:pt>
                <c:pt idx="53">
                  <c:v>6092.16</c:v>
                </c:pt>
                <c:pt idx="54">
                  <c:v>6092.18</c:v>
                </c:pt>
                <c:pt idx="55">
                  <c:v>6025.17</c:v>
                </c:pt>
                <c:pt idx="56">
                  <c:v>5967.84</c:v>
                </c:pt>
                <c:pt idx="57">
                  <c:v>5980.87</c:v>
                </c:pt>
                <c:pt idx="58">
                  <c:v>5982.72</c:v>
                </c:pt>
                <c:pt idx="59">
                  <c:v>6033.11</c:v>
                </c:pt>
                <c:pt idx="60">
                  <c:v>5976.97</c:v>
                </c:pt>
                <c:pt idx="61">
                  <c:v>6045.26</c:v>
                </c:pt>
                <c:pt idx="62">
                  <c:v>6022.24</c:v>
                </c:pt>
                <c:pt idx="63">
                  <c:v>6038.81</c:v>
                </c:pt>
                <c:pt idx="64">
                  <c:v>6005.88</c:v>
                </c:pt>
                <c:pt idx="65">
                  <c:v>6000.36</c:v>
                </c:pt>
                <c:pt idx="66">
                  <c:v>5939.3</c:v>
                </c:pt>
                <c:pt idx="67">
                  <c:v>5970.81</c:v>
                </c:pt>
                <c:pt idx="68">
                  <c:v>5970.37</c:v>
                </c:pt>
                <c:pt idx="69">
                  <c:v>5935.94</c:v>
                </c:pt>
                <c:pt idx="70">
                  <c:v>5911.69</c:v>
                </c:pt>
                <c:pt idx="71">
                  <c:v>5912.17</c:v>
                </c:pt>
                <c:pt idx="72">
                  <c:v>5888.55</c:v>
                </c:pt>
                <c:pt idx="73">
                  <c:v>5921.54</c:v>
                </c:pt>
                <c:pt idx="74">
                  <c:v>5802.82</c:v>
                </c:pt>
                <c:pt idx="75">
                  <c:v>5842.01</c:v>
                </c:pt>
                <c:pt idx="76">
                  <c:v>5844.61</c:v>
                </c:pt>
                <c:pt idx="77">
                  <c:v>5940.46</c:v>
                </c:pt>
                <c:pt idx="78">
                  <c:v>5963.6</c:v>
                </c:pt>
                <c:pt idx="79">
                  <c:v>5958.38</c:v>
                </c:pt>
                <c:pt idx="80">
                  <c:v>5916.93</c:v>
                </c:pt>
                <c:pt idx="81">
                  <c:v>5892.58</c:v>
                </c:pt>
                <c:pt idx="82">
                  <c:v>5886.55</c:v>
                </c:pt>
                <c:pt idx="83">
                  <c:v>5844.19</c:v>
                </c:pt>
                <c:pt idx="84">
                  <c:v>5659.91</c:v>
                </c:pt>
                <c:pt idx="85">
                  <c:v>5663.94</c:v>
                </c:pt>
                <c:pt idx="86">
                  <c:v>5631.28</c:v>
                </c:pt>
                <c:pt idx="87">
                  <c:v>5606.91</c:v>
                </c:pt>
                <c:pt idx="88">
                  <c:v>5650.38</c:v>
                </c:pt>
                <c:pt idx="89">
                  <c:v>5686.67</c:v>
                </c:pt>
                <c:pt idx="90">
                  <c:v>5604.14</c:v>
                </c:pt>
                <c:pt idx="91">
                  <c:v>5569.06</c:v>
                </c:pt>
                <c:pt idx="92">
                  <c:v>5560.83</c:v>
                </c:pt>
                <c:pt idx="93">
                  <c:v>5528.75</c:v>
                </c:pt>
                <c:pt idx="94">
                  <c:v>5525.21</c:v>
                </c:pt>
                <c:pt idx="95">
                  <c:v>5484.77</c:v>
                </c:pt>
                <c:pt idx="96">
                  <c:v>5375.86</c:v>
                </c:pt>
                <c:pt idx="97">
                  <c:v>5287.76</c:v>
                </c:pt>
                <c:pt idx="98">
                  <c:v>5158.2</c:v>
                </c:pt>
                <c:pt idx="99">
                  <c:v>5282.7</c:v>
                </c:pt>
                <c:pt idx="100">
                  <c:v>5275.7</c:v>
                </c:pt>
                <c:pt idx="101">
                  <c:v>5396.63</c:v>
                </c:pt>
                <c:pt idx="102">
                  <c:v>5405.97</c:v>
                </c:pt>
                <c:pt idx="103">
                  <c:v>5363.36</c:v>
                </c:pt>
                <c:pt idx="104">
                  <c:v>5268.05</c:v>
                </c:pt>
                <c:pt idx="105">
                  <c:v>5456.9</c:v>
                </c:pt>
                <c:pt idx="106">
                  <c:v>4982.7700000000004</c:v>
                </c:pt>
                <c:pt idx="107">
                  <c:v>5062.25</c:v>
                </c:pt>
                <c:pt idx="108">
                  <c:v>5074.08</c:v>
                </c:pt>
                <c:pt idx="109">
                  <c:v>5396.52</c:v>
                </c:pt>
                <c:pt idx="110">
                  <c:v>5670.97</c:v>
                </c:pt>
                <c:pt idx="111">
                  <c:v>5633.07</c:v>
                </c:pt>
                <c:pt idx="112">
                  <c:v>5611.85</c:v>
                </c:pt>
                <c:pt idx="113">
                  <c:v>5580.94</c:v>
                </c:pt>
                <c:pt idx="114">
                  <c:v>5693.31</c:v>
                </c:pt>
                <c:pt idx="115">
                  <c:v>5712.2</c:v>
                </c:pt>
                <c:pt idx="116">
                  <c:v>5776.65</c:v>
                </c:pt>
                <c:pt idx="117">
                  <c:v>5767.57</c:v>
                </c:pt>
                <c:pt idx="118">
                  <c:v>5667.56</c:v>
                </c:pt>
                <c:pt idx="119">
                  <c:v>5662.89</c:v>
                </c:pt>
                <c:pt idx="120">
                  <c:v>5675.29</c:v>
                </c:pt>
                <c:pt idx="121">
                  <c:v>5614.66</c:v>
                </c:pt>
                <c:pt idx="122">
                  <c:v>5675.12</c:v>
                </c:pt>
                <c:pt idx="123">
                  <c:v>5638.94</c:v>
                </c:pt>
                <c:pt idx="124">
                  <c:v>5521.52</c:v>
                </c:pt>
                <c:pt idx="125">
                  <c:v>5599.3</c:v>
                </c:pt>
                <c:pt idx="126">
                  <c:v>5572.07</c:v>
                </c:pt>
                <c:pt idx="127">
                  <c:v>5614.56</c:v>
                </c:pt>
                <c:pt idx="128">
                  <c:v>5770.2</c:v>
                </c:pt>
                <c:pt idx="129">
                  <c:v>5738.52</c:v>
                </c:pt>
                <c:pt idx="130">
                  <c:v>5842.63</c:v>
                </c:pt>
                <c:pt idx="131">
                  <c:v>5778.15</c:v>
                </c:pt>
                <c:pt idx="132">
                  <c:v>5849.72</c:v>
                </c:pt>
                <c:pt idx="133">
                  <c:v>5954.5</c:v>
                </c:pt>
                <c:pt idx="134">
                  <c:v>5861.57</c:v>
                </c:pt>
                <c:pt idx="135">
                  <c:v>5956.06</c:v>
                </c:pt>
                <c:pt idx="136">
                  <c:v>5955.25</c:v>
                </c:pt>
                <c:pt idx="137">
                  <c:v>5983.25</c:v>
                </c:pt>
                <c:pt idx="138">
                  <c:v>6013.13</c:v>
                </c:pt>
                <c:pt idx="139">
                  <c:v>6117.52</c:v>
                </c:pt>
                <c:pt idx="140">
                  <c:v>6144.15</c:v>
                </c:pt>
                <c:pt idx="141">
                  <c:v>6129.58</c:v>
                </c:pt>
                <c:pt idx="142">
                  <c:v>6114.63</c:v>
                </c:pt>
                <c:pt idx="143">
                  <c:v>6115.07</c:v>
                </c:pt>
                <c:pt idx="144">
                  <c:v>6051.97</c:v>
                </c:pt>
                <c:pt idx="145">
                  <c:v>6068.5</c:v>
                </c:pt>
                <c:pt idx="146">
                  <c:v>6066.44</c:v>
                </c:pt>
                <c:pt idx="147">
                  <c:v>6025.99</c:v>
                </c:pt>
                <c:pt idx="148">
                  <c:v>6083.57</c:v>
                </c:pt>
                <c:pt idx="149">
                  <c:v>6061.48</c:v>
                </c:pt>
                <c:pt idx="150">
                  <c:v>6037.88</c:v>
                </c:pt>
                <c:pt idx="151">
                  <c:v>5994.57</c:v>
                </c:pt>
                <c:pt idx="152">
                  <c:v>6040.53</c:v>
                </c:pt>
                <c:pt idx="153">
                  <c:v>6071.17</c:v>
                </c:pt>
                <c:pt idx="154">
                  <c:v>6039.31</c:v>
                </c:pt>
                <c:pt idx="155">
                  <c:v>6067.7</c:v>
                </c:pt>
                <c:pt idx="156">
                  <c:v>6012.28</c:v>
                </c:pt>
                <c:pt idx="157">
                  <c:v>6101.24</c:v>
                </c:pt>
                <c:pt idx="158">
                  <c:v>6118.71</c:v>
                </c:pt>
                <c:pt idx="159">
                  <c:v>6086.37</c:v>
                </c:pt>
                <c:pt idx="160">
                  <c:v>6049.24</c:v>
                </c:pt>
                <c:pt idx="161">
                  <c:v>5996.66</c:v>
                </c:pt>
                <c:pt idx="162">
                  <c:v>5937.34</c:v>
                </c:pt>
                <c:pt idx="163">
                  <c:v>5949.91</c:v>
                </c:pt>
                <c:pt idx="164">
                  <c:v>5842.91</c:v>
                </c:pt>
                <c:pt idx="165">
                  <c:v>5836.22</c:v>
                </c:pt>
                <c:pt idx="166">
                  <c:v>5827.04</c:v>
                </c:pt>
                <c:pt idx="167">
                  <c:v>5918.25</c:v>
                </c:pt>
                <c:pt idx="168">
                  <c:v>5909.03</c:v>
                </c:pt>
                <c:pt idx="169">
                  <c:v>5975.38</c:v>
                </c:pt>
                <c:pt idx="170">
                  <c:v>5942.47</c:v>
                </c:pt>
                <c:pt idx="171">
                  <c:v>5868.55</c:v>
                </c:pt>
                <c:pt idx="172">
                  <c:v>5881.63</c:v>
                </c:pt>
                <c:pt idx="173">
                  <c:v>5906.94</c:v>
                </c:pt>
                <c:pt idx="174">
                  <c:v>5970.84</c:v>
                </c:pt>
                <c:pt idx="175">
                  <c:v>6037.59</c:v>
                </c:pt>
                <c:pt idx="176">
                  <c:v>6040.04</c:v>
                </c:pt>
                <c:pt idx="177">
                  <c:v>5974.07</c:v>
                </c:pt>
                <c:pt idx="178">
                  <c:v>5930.85</c:v>
                </c:pt>
                <c:pt idx="179">
                  <c:v>5867.08</c:v>
                </c:pt>
                <c:pt idx="180">
                  <c:v>5872.16</c:v>
                </c:pt>
                <c:pt idx="181">
                  <c:v>6050.61</c:v>
                </c:pt>
                <c:pt idx="182">
                  <c:v>6074.08</c:v>
                </c:pt>
                <c:pt idx="183">
                  <c:v>6051.09</c:v>
                </c:pt>
                <c:pt idx="184">
                  <c:v>6051.25</c:v>
                </c:pt>
                <c:pt idx="185">
                  <c:v>6084.19</c:v>
                </c:pt>
                <c:pt idx="186">
                  <c:v>6034.91</c:v>
                </c:pt>
                <c:pt idx="187">
                  <c:v>6052.85</c:v>
                </c:pt>
                <c:pt idx="188">
                  <c:v>6090.27</c:v>
                </c:pt>
                <c:pt idx="189">
                  <c:v>6075.11</c:v>
                </c:pt>
                <c:pt idx="190">
                  <c:v>6086.49</c:v>
                </c:pt>
                <c:pt idx="191">
                  <c:v>6049.88</c:v>
                </c:pt>
                <c:pt idx="192">
                  <c:v>6047.15</c:v>
                </c:pt>
                <c:pt idx="193">
                  <c:v>6032.38</c:v>
                </c:pt>
                <c:pt idx="194">
                  <c:v>5998.74</c:v>
                </c:pt>
                <c:pt idx="195">
                  <c:v>6021.63</c:v>
                </c:pt>
                <c:pt idx="196">
                  <c:v>5987.37</c:v>
                </c:pt>
                <c:pt idx="197">
                  <c:v>5969.34</c:v>
                </c:pt>
                <c:pt idx="198">
                  <c:v>5948.71</c:v>
                </c:pt>
                <c:pt idx="199">
                  <c:v>5917.11</c:v>
                </c:pt>
                <c:pt idx="200">
                  <c:v>5916.98</c:v>
                </c:pt>
                <c:pt idx="201">
                  <c:v>5893.62</c:v>
                </c:pt>
                <c:pt idx="202">
                  <c:v>5870.62</c:v>
                </c:pt>
                <c:pt idx="203">
                  <c:v>5949.17</c:v>
                </c:pt>
                <c:pt idx="204">
                  <c:v>5985.38</c:v>
                </c:pt>
                <c:pt idx="205">
                  <c:v>5983.99</c:v>
                </c:pt>
                <c:pt idx="206">
                  <c:v>6001.35</c:v>
                </c:pt>
                <c:pt idx="207">
                  <c:v>5995.54</c:v>
                </c:pt>
                <c:pt idx="208">
                  <c:v>5973.1</c:v>
                </c:pt>
                <c:pt idx="209">
                  <c:v>5929.04</c:v>
                </c:pt>
                <c:pt idx="210">
                  <c:v>5782.76</c:v>
                </c:pt>
                <c:pt idx="211">
                  <c:v>5712.69</c:v>
                </c:pt>
                <c:pt idx="212">
                  <c:v>5728.8</c:v>
                </c:pt>
                <c:pt idx="213">
                  <c:v>5705.45</c:v>
                </c:pt>
                <c:pt idx="214">
                  <c:v>5813.67</c:v>
                </c:pt>
                <c:pt idx="215">
                  <c:v>5832.92</c:v>
                </c:pt>
                <c:pt idx="216">
                  <c:v>5823.52</c:v>
                </c:pt>
                <c:pt idx="217">
                  <c:v>5808.12</c:v>
                </c:pt>
                <c:pt idx="218">
                  <c:v>5809.86</c:v>
                </c:pt>
                <c:pt idx="219">
                  <c:v>5797.42</c:v>
                </c:pt>
                <c:pt idx="220">
                  <c:v>5851.2</c:v>
                </c:pt>
                <c:pt idx="221">
                  <c:v>5853.98</c:v>
                </c:pt>
                <c:pt idx="222">
                  <c:v>5864.67</c:v>
                </c:pt>
                <c:pt idx="223">
                  <c:v>5841.47</c:v>
                </c:pt>
                <c:pt idx="224">
                  <c:v>5842.47</c:v>
                </c:pt>
                <c:pt idx="225">
                  <c:v>5815.26</c:v>
                </c:pt>
                <c:pt idx="226">
                  <c:v>5859.85</c:v>
                </c:pt>
                <c:pt idx="227">
                  <c:v>5815.03</c:v>
                </c:pt>
                <c:pt idx="228">
                  <c:v>5780.05</c:v>
                </c:pt>
                <c:pt idx="229">
                  <c:v>5792.04</c:v>
                </c:pt>
                <c:pt idx="230">
                  <c:v>5751.13</c:v>
                </c:pt>
                <c:pt idx="231">
                  <c:v>5695.94</c:v>
                </c:pt>
                <c:pt idx="232">
                  <c:v>5751.07</c:v>
                </c:pt>
                <c:pt idx="233">
                  <c:v>5699.94</c:v>
                </c:pt>
                <c:pt idx="234">
                  <c:v>5709.54</c:v>
                </c:pt>
                <c:pt idx="235">
                  <c:v>5708.75</c:v>
                </c:pt>
                <c:pt idx="236">
                  <c:v>5762.48</c:v>
                </c:pt>
                <c:pt idx="237">
                  <c:v>5738.17</c:v>
                </c:pt>
                <c:pt idx="238">
                  <c:v>5745.37</c:v>
                </c:pt>
                <c:pt idx="239">
                  <c:v>5722.26</c:v>
                </c:pt>
                <c:pt idx="240">
                  <c:v>5732.93</c:v>
                </c:pt>
                <c:pt idx="241">
                  <c:v>5718.57</c:v>
                </c:pt>
                <c:pt idx="242">
                  <c:v>5702.55</c:v>
                </c:pt>
                <c:pt idx="243">
                  <c:v>5713.64</c:v>
                </c:pt>
                <c:pt idx="244">
                  <c:v>5618.26</c:v>
                </c:pt>
                <c:pt idx="245">
                  <c:v>5634.58</c:v>
                </c:pt>
                <c:pt idx="246">
                  <c:v>5633.09</c:v>
                </c:pt>
                <c:pt idx="247">
                  <c:v>5626.02</c:v>
                </c:pt>
                <c:pt idx="248">
                  <c:v>5595.76</c:v>
                </c:pt>
                <c:pt idx="249">
                  <c:v>5554.13</c:v>
                </c:pt>
                <c:pt idx="250">
                  <c:v>5495.52</c:v>
                </c:pt>
              </c:numCache>
            </c:numRef>
          </c:val>
          <c:smooth val="0"/>
          <c:extLst>
            <c:ext xmlns:c16="http://schemas.microsoft.com/office/drawing/2014/chart" uri="{C3380CC4-5D6E-409C-BE32-E72D297353CC}">
              <c16:uniqueId val="{00000000-39CA-4D79-A4DB-AF54CCDF13B6}"/>
            </c:ext>
          </c:extLst>
        </c:ser>
        <c:dLbls>
          <c:showLegendKey val="0"/>
          <c:showVal val="0"/>
          <c:showCatName val="0"/>
          <c:showSerName val="0"/>
          <c:showPercent val="0"/>
          <c:showBubbleSize val="0"/>
        </c:dLbls>
        <c:marker val="1"/>
        <c:smooth val="0"/>
        <c:axId val="185401759"/>
        <c:axId val="185402239"/>
      </c:lineChart>
      <c:lineChart>
        <c:grouping val="standard"/>
        <c:varyColors val="0"/>
        <c:ser>
          <c:idx val="1"/>
          <c:order val="1"/>
          <c:tx>
            <c:strRef>
              <c:f>Apple!$A$1</c:f>
              <c:strCache>
                <c:ptCount val="1"/>
                <c:pt idx="0">
                  <c:v>Apple</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val>
            <c:numRef>
              <c:f>Apple!$F$4:$F$254</c:f>
              <c:numCache>
                <c:formatCode>#,##0.00</c:formatCode>
                <c:ptCount val="251"/>
                <c:pt idx="0">
                  <c:v>226.6</c:v>
                </c:pt>
                <c:pt idx="1">
                  <c:v>234.35</c:v>
                </c:pt>
                <c:pt idx="2">
                  <c:v>237.88</c:v>
                </c:pt>
                <c:pt idx="3">
                  <c:v>239.69</c:v>
                </c:pt>
                <c:pt idx="4">
                  <c:v>239.78</c:v>
                </c:pt>
                <c:pt idx="5">
                  <c:v>238.47</c:v>
                </c:pt>
                <c:pt idx="6">
                  <c:v>229.72</c:v>
                </c:pt>
                <c:pt idx="7">
                  <c:v>232.14</c:v>
                </c:pt>
                <c:pt idx="8">
                  <c:v>232.56</c:v>
                </c:pt>
                <c:pt idx="9">
                  <c:v>230.49</c:v>
                </c:pt>
                <c:pt idx="10">
                  <c:v>229.31</c:v>
                </c:pt>
                <c:pt idx="11">
                  <c:v>227.16</c:v>
                </c:pt>
                <c:pt idx="12">
                  <c:v>227.76</c:v>
                </c:pt>
                <c:pt idx="13">
                  <c:v>224.9</c:v>
                </c:pt>
                <c:pt idx="14">
                  <c:v>226.01</c:v>
                </c:pt>
                <c:pt idx="15">
                  <c:v>230.56</c:v>
                </c:pt>
                <c:pt idx="16">
                  <c:v>230.89</c:v>
                </c:pt>
                <c:pt idx="17">
                  <c:v>231.59</c:v>
                </c:pt>
                <c:pt idx="18">
                  <c:v>232.78</c:v>
                </c:pt>
                <c:pt idx="19">
                  <c:v>233.33</c:v>
                </c:pt>
                <c:pt idx="20">
                  <c:v>229.65</c:v>
                </c:pt>
                <c:pt idx="21">
                  <c:v>227.18</c:v>
                </c:pt>
                <c:pt idx="22">
                  <c:v>229.09</c:v>
                </c:pt>
                <c:pt idx="23">
                  <c:v>219.78</c:v>
                </c:pt>
                <c:pt idx="24">
                  <c:v>213.01</c:v>
                </c:pt>
                <c:pt idx="25">
                  <c:v>202.69</c:v>
                </c:pt>
                <c:pt idx="26">
                  <c:v>203.12</c:v>
                </c:pt>
                <c:pt idx="27">
                  <c:v>202.15</c:v>
                </c:pt>
                <c:pt idx="28">
                  <c:v>207.33</c:v>
                </c:pt>
                <c:pt idx="29">
                  <c:v>208.81</c:v>
                </c:pt>
                <c:pt idx="30">
                  <c:v>211.03</c:v>
                </c:pt>
                <c:pt idx="31">
                  <c:v>213.81</c:v>
                </c:pt>
                <c:pt idx="32">
                  <c:v>213.64</c:v>
                </c:pt>
                <c:pt idx="33">
                  <c:v>213.52</c:v>
                </c:pt>
                <c:pt idx="34">
                  <c:v>213.91</c:v>
                </c:pt>
                <c:pt idx="35">
                  <c:v>214.16</c:v>
                </c:pt>
                <c:pt idx="36">
                  <c:v>212.24</c:v>
                </c:pt>
                <c:pt idx="37">
                  <c:v>210.94</c:v>
                </c:pt>
                <c:pt idx="38">
                  <c:v>209.78</c:v>
                </c:pt>
                <c:pt idx="39">
                  <c:v>209.92</c:v>
                </c:pt>
                <c:pt idx="40">
                  <c:v>208.87</c:v>
                </c:pt>
                <c:pt idx="41">
                  <c:v>208.38</c:v>
                </c:pt>
                <c:pt idx="42">
                  <c:v>210.92</c:v>
                </c:pt>
                <c:pt idx="43">
                  <c:v>212.17</c:v>
                </c:pt>
                <c:pt idx="44">
                  <c:v>210.9</c:v>
                </c:pt>
                <c:pt idx="45">
                  <c:v>209.77</c:v>
                </c:pt>
                <c:pt idx="46">
                  <c:v>209.71</c:v>
                </c:pt>
                <c:pt idx="47">
                  <c:v>213.31</c:v>
                </c:pt>
                <c:pt idx="48">
                  <c:v>212.2</c:v>
                </c:pt>
                <c:pt idx="49">
                  <c:v>207.58</c:v>
                </c:pt>
                <c:pt idx="50">
                  <c:v>204.94</c:v>
                </c:pt>
                <c:pt idx="51">
                  <c:v>200.85</c:v>
                </c:pt>
                <c:pt idx="52">
                  <c:v>200.77</c:v>
                </c:pt>
                <c:pt idx="53">
                  <c:v>201.33</c:v>
                </c:pt>
                <c:pt idx="54">
                  <c:v>200.07</c:v>
                </c:pt>
                <c:pt idx="55">
                  <c:v>201.27</c:v>
                </c:pt>
                <c:pt idx="56">
                  <c:v>200.77</c:v>
                </c:pt>
                <c:pt idx="57">
                  <c:v>196.36</c:v>
                </c:pt>
                <c:pt idx="58">
                  <c:v>195.42</c:v>
                </c:pt>
                <c:pt idx="59">
                  <c:v>198.2</c:v>
                </c:pt>
                <c:pt idx="60">
                  <c:v>196.23</c:v>
                </c:pt>
                <c:pt idx="61">
                  <c:v>198.97</c:v>
                </c:pt>
                <c:pt idx="62">
                  <c:v>198.55</c:v>
                </c:pt>
                <c:pt idx="63">
                  <c:v>202.44</c:v>
                </c:pt>
                <c:pt idx="64">
                  <c:v>201.22</c:v>
                </c:pt>
                <c:pt idx="65">
                  <c:v>203.69</c:v>
                </c:pt>
                <c:pt idx="66">
                  <c:v>200.4</c:v>
                </c:pt>
                <c:pt idx="67">
                  <c:v>202.59</c:v>
                </c:pt>
                <c:pt idx="68">
                  <c:v>203.04</c:v>
                </c:pt>
                <c:pt idx="69">
                  <c:v>201.47</c:v>
                </c:pt>
                <c:pt idx="70">
                  <c:v>200.62</c:v>
                </c:pt>
                <c:pt idx="71">
                  <c:v>199.72</c:v>
                </c:pt>
                <c:pt idx="72">
                  <c:v>200.19</c:v>
                </c:pt>
                <c:pt idx="73">
                  <c:v>199.98</c:v>
                </c:pt>
                <c:pt idx="74">
                  <c:v>195.05</c:v>
                </c:pt>
                <c:pt idx="75">
                  <c:v>201.13</c:v>
                </c:pt>
                <c:pt idx="76">
                  <c:v>201.86</c:v>
                </c:pt>
                <c:pt idx="77">
                  <c:v>206.63</c:v>
                </c:pt>
                <c:pt idx="78">
                  <c:v>208.54</c:v>
                </c:pt>
                <c:pt idx="79">
                  <c:v>211.02</c:v>
                </c:pt>
                <c:pt idx="80">
                  <c:v>211.21</c:v>
                </c:pt>
                <c:pt idx="81">
                  <c:v>212.09</c:v>
                </c:pt>
                <c:pt idx="82">
                  <c:v>212.69</c:v>
                </c:pt>
                <c:pt idx="83">
                  <c:v>210.55</c:v>
                </c:pt>
                <c:pt idx="84">
                  <c:v>198.05</c:v>
                </c:pt>
                <c:pt idx="85">
                  <c:v>197.01</c:v>
                </c:pt>
                <c:pt idx="86">
                  <c:v>195.77</c:v>
                </c:pt>
                <c:pt idx="87">
                  <c:v>198.03</c:v>
                </c:pt>
                <c:pt idx="88">
                  <c:v>198.4</c:v>
                </c:pt>
                <c:pt idx="89">
                  <c:v>204.85</c:v>
                </c:pt>
                <c:pt idx="90">
                  <c:v>212.8</c:v>
                </c:pt>
                <c:pt idx="91">
                  <c:v>211.98</c:v>
                </c:pt>
                <c:pt idx="92">
                  <c:v>210.69</c:v>
                </c:pt>
                <c:pt idx="93">
                  <c:v>209.63</c:v>
                </c:pt>
                <c:pt idx="94">
                  <c:v>208.77</c:v>
                </c:pt>
                <c:pt idx="95">
                  <c:v>207.86</c:v>
                </c:pt>
                <c:pt idx="96">
                  <c:v>204.1</c:v>
                </c:pt>
                <c:pt idx="97">
                  <c:v>199.25</c:v>
                </c:pt>
                <c:pt idx="98">
                  <c:v>192.69</c:v>
                </c:pt>
                <c:pt idx="99">
                  <c:v>196.5</c:v>
                </c:pt>
                <c:pt idx="100">
                  <c:v>193.8</c:v>
                </c:pt>
                <c:pt idx="101">
                  <c:v>201.65</c:v>
                </c:pt>
                <c:pt idx="102">
                  <c:v>202.03</c:v>
                </c:pt>
                <c:pt idx="103">
                  <c:v>197.67</c:v>
                </c:pt>
                <c:pt idx="104">
                  <c:v>189.96</c:v>
                </c:pt>
                <c:pt idx="105">
                  <c:v>198.36</c:v>
                </c:pt>
                <c:pt idx="106">
                  <c:v>172</c:v>
                </c:pt>
                <c:pt idx="107">
                  <c:v>181.02</c:v>
                </c:pt>
                <c:pt idx="108">
                  <c:v>187.92</c:v>
                </c:pt>
                <c:pt idx="109">
                  <c:v>202.69</c:v>
                </c:pt>
                <c:pt idx="110">
                  <c:v>223.34</c:v>
                </c:pt>
                <c:pt idx="111">
                  <c:v>222.65</c:v>
                </c:pt>
                <c:pt idx="112">
                  <c:v>221.59</c:v>
                </c:pt>
                <c:pt idx="113">
                  <c:v>217.37</c:v>
                </c:pt>
                <c:pt idx="114">
                  <c:v>223.3</c:v>
                </c:pt>
                <c:pt idx="115">
                  <c:v>220.99</c:v>
                </c:pt>
                <c:pt idx="116">
                  <c:v>223.2</c:v>
                </c:pt>
                <c:pt idx="117">
                  <c:v>220.19</c:v>
                </c:pt>
                <c:pt idx="118">
                  <c:v>217.74</c:v>
                </c:pt>
                <c:pt idx="119">
                  <c:v>213.58</c:v>
                </c:pt>
                <c:pt idx="120">
                  <c:v>214.71</c:v>
                </c:pt>
                <c:pt idx="121">
                  <c:v>212.17</c:v>
                </c:pt>
                <c:pt idx="122">
                  <c:v>213.48</c:v>
                </c:pt>
                <c:pt idx="123">
                  <c:v>212.97</c:v>
                </c:pt>
                <c:pt idx="124">
                  <c:v>209.17</c:v>
                </c:pt>
                <c:pt idx="125">
                  <c:v>216.45</c:v>
                </c:pt>
                <c:pt idx="126">
                  <c:v>220.3</c:v>
                </c:pt>
                <c:pt idx="127">
                  <c:v>226.92</c:v>
                </c:pt>
                <c:pt idx="128">
                  <c:v>238.49</c:v>
                </c:pt>
                <c:pt idx="129">
                  <c:v>234.76</c:v>
                </c:pt>
                <c:pt idx="130">
                  <c:v>235.16</c:v>
                </c:pt>
                <c:pt idx="131">
                  <c:v>235.35</c:v>
                </c:pt>
                <c:pt idx="132">
                  <c:v>237.45</c:v>
                </c:pt>
                <c:pt idx="133">
                  <c:v>241.25</c:v>
                </c:pt>
                <c:pt idx="134">
                  <c:v>236.72</c:v>
                </c:pt>
                <c:pt idx="135">
                  <c:v>239.77</c:v>
                </c:pt>
                <c:pt idx="136">
                  <c:v>246.44</c:v>
                </c:pt>
                <c:pt idx="137">
                  <c:v>246.5</c:v>
                </c:pt>
                <c:pt idx="138">
                  <c:v>244.95</c:v>
                </c:pt>
                <c:pt idx="139">
                  <c:v>245.23</c:v>
                </c:pt>
                <c:pt idx="140">
                  <c:v>244.27</c:v>
                </c:pt>
                <c:pt idx="141">
                  <c:v>243.87</c:v>
                </c:pt>
                <c:pt idx="142">
                  <c:v>244</c:v>
                </c:pt>
                <c:pt idx="143">
                  <c:v>240.94</c:v>
                </c:pt>
                <c:pt idx="144">
                  <c:v>236.29</c:v>
                </c:pt>
                <c:pt idx="145">
                  <c:v>232.05</c:v>
                </c:pt>
                <c:pt idx="146">
                  <c:v>227.09</c:v>
                </c:pt>
                <c:pt idx="147">
                  <c:v>226.82</c:v>
                </c:pt>
                <c:pt idx="148">
                  <c:v>232.4</c:v>
                </c:pt>
                <c:pt idx="149">
                  <c:v>231.65</c:v>
                </c:pt>
                <c:pt idx="150">
                  <c:v>231.98</c:v>
                </c:pt>
                <c:pt idx="151">
                  <c:v>227.2</c:v>
                </c:pt>
                <c:pt idx="152">
                  <c:v>235.17</c:v>
                </c:pt>
                <c:pt idx="153">
                  <c:v>236.75</c:v>
                </c:pt>
                <c:pt idx="154">
                  <c:v>238.51</c:v>
                </c:pt>
                <c:pt idx="155">
                  <c:v>237.42</c:v>
                </c:pt>
                <c:pt idx="156">
                  <c:v>229.05</c:v>
                </c:pt>
                <c:pt idx="157">
                  <c:v>221.99</c:v>
                </c:pt>
                <c:pt idx="158">
                  <c:v>222.87</c:v>
                </c:pt>
                <c:pt idx="159">
                  <c:v>223.04</c:v>
                </c:pt>
                <c:pt idx="160">
                  <c:v>221.85</c:v>
                </c:pt>
                <c:pt idx="161">
                  <c:v>229.17</c:v>
                </c:pt>
                <c:pt idx="162">
                  <c:v>227.45</c:v>
                </c:pt>
                <c:pt idx="163">
                  <c:v>237.03</c:v>
                </c:pt>
                <c:pt idx="164">
                  <c:v>232.45</c:v>
                </c:pt>
                <c:pt idx="165">
                  <c:v>233.57</c:v>
                </c:pt>
                <c:pt idx="166">
                  <c:v>236.01</c:v>
                </c:pt>
                <c:pt idx="167">
                  <c:v>241.84</c:v>
                </c:pt>
                <c:pt idx="168">
                  <c:v>241.35</c:v>
                </c:pt>
                <c:pt idx="169">
                  <c:v>244.13</c:v>
                </c:pt>
                <c:pt idx="170">
                  <c:v>242.5</c:v>
                </c:pt>
                <c:pt idx="171">
                  <c:v>242.99</c:v>
                </c:pt>
                <c:pt idx="172">
                  <c:v>249.53</c:v>
                </c:pt>
                <c:pt idx="173">
                  <c:v>251.31</c:v>
                </c:pt>
                <c:pt idx="174">
                  <c:v>254.69</c:v>
                </c:pt>
                <c:pt idx="175">
                  <c:v>258.10000000000002</c:v>
                </c:pt>
                <c:pt idx="176">
                  <c:v>257.29000000000002</c:v>
                </c:pt>
                <c:pt idx="177">
                  <c:v>254.37</c:v>
                </c:pt>
                <c:pt idx="178">
                  <c:v>253.59</c:v>
                </c:pt>
                <c:pt idx="179">
                  <c:v>248.91</c:v>
                </c:pt>
                <c:pt idx="180">
                  <c:v>247.17</c:v>
                </c:pt>
                <c:pt idx="181">
                  <c:v>252.58</c:v>
                </c:pt>
                <c:pt idx="182">
                  <c:v>250.15</c:v>
                </c:pt>
                <c:pt idx="183">
                  <c:v>247.25</c:v>
                </c:pt>
                <c:pt idx="184">
                  <c:v>247.08</c:v>
                </c:pt>
                <c:pt idx="185">
                  <c:v>245.62</c:v>
                </c:pt>
                <c:pt idx="186">
                  <c:v>246.89</c:v>
                </c:pt>
                <c:pt idx="187">
                  <c:v>245.88</c:v>
                </c:pt>
                <c:pt idx="188">
                  <c:v>241.98</c:v>
                </c:pt>
                <c:pt idx="189">
                  <c:v>242.18</c:v>
                </c:pt>
                <c:pt idx="190">
                  <c:v>242.15</c:v>
                </c:pt>
                <c:pt idx="191">
                  <c:v>241.79</c:v>
                </c:pt>
                <c:pt idx="192">
                  <c:v>238.74</c:v>
                </c:pt>
                <c:pt idx="193">
                  <c:v>236.49</c:v>
                </c:pt>
                <c:pt idx="194">
                  <c:v>234.1</c:v>
                </c:pt>
                <c:pt idx="195">
                  <c:v>234.23</c:v>
                </c:pt>
                <c:pt idx="196">
                  <c:v>232.05</c:v>
                </c:pt>
                <c:pt idx="197">
                  <c:v>229.06</c:v>
                </c:pt>
                <c:pt idx="198">
                  <c:v>227.71</c:v>
                </c:pt>
                <c:pt idx="199">
                  <c:v>228.19</c:v>
                </c:pt>
                <c:pt idx="200">
                  <c:v>227.47</c:v>
                </c:pt>
                <c:pt idx="201">
                  <c:v>227.21</c:v>
                </c:pt>
                <c:pt idx="202">
                  <c:v>224.2</c:v>
                </c:pt>
                <c:pt idx="203">
                  <c:v>227.41</c:v>
                </c:pt>
                <c:pt idx="204">
                  <c:v>224.32</c:v>
                </c:pt>
                <c:pt idx="205">
                  <c:v>223.44</c:v>
                </c:pt>
                <c:pt idx="206">
                  <c:v>223.44</c:v>
                </c:pt>
                <c:pt idx="207">
                  <c:v>226.16</c:v>
                </c:pt>
                <c:pt idx="208">
                  <c:v>226.43</c:v>
                </c:pt>
                <c:pt idx="209">
                  <c:v>221.69</c:v>
                </c:pt>
                <c:pt idx="210">
                  <c:v>222.41</c:v>
                </c:pt>
                <c:pt idx="211">
                  <c:v>220.98</c:v>
                </c:pt>
                <c:pt idx="212">
                  <c:v>221.88</c:v>
                </c:pt>
                <c:pt idx="213">
                  <c:v>224.86</c:v>
                </c:pt>
                <c:pt idx="214">
                  <c:v>229.03</c:v>
                </c:pt>
                <c:pt idx="215">
                  <c:v>232.59</c:v>
                </c:pt>
                <c:pt idx="216">
                  <c:v>232.32</c:v>
                </c:pt>
                <c:pt idx="217">
                  <c:v>230.34</c:v>
                </c:pt>
                <c:pt idx="218">
                  <c:v>229.5</c:v>
                </c:pt>
                <c:pt idx="219">
                  <c:v>229.69</c:v>
                </c:pt>
                <c:pt idx="220">
                  <c:v>234.77</c:v>
                </c:pt>
                <c:pt idx="221">
                  <c:v>235.38</c:v>
                </c:pt>
                <c:pt idx="222">
                  <c:v>233.91</c:v>
                </c:pt>
                <c:pt idx="223">
                  <c:v>231.07</c:v>
                </c:pt>
                <c:pt idx="224">
                  <c:v>230.71</c:v>
                </c:pt>
                <c:pt idx="225">
                  <c:v>232.77</c:v>
                </c:pt>
                <c:pt idx="226">
                  <c:v>230.23</c:v>
                </c:pt>
                <c:pt idx="227">
                  <c:v>226.5</c:v>
                </c:pt>
                <c:pt idx="228">
                  <c:v>227.98</c:v>
                </c:pt>
                <c:pt idx="229">
                  <c:v>228.48</c:v>
                </c:pt>
                <c:pt idx="230">
                  <c:v>224.72</c:v>
                </c:pt>
                <c:pt idx="231">
                  <c:v>220.66</c:v>
                </c:pt>
                <c:pt idx="232">
                  <c:v>225.75</c:v>
                </c:pt>
                <c:pt idx="233">
                  <c:v>224.62</c:v>
                </c:pt>
                <c:pt idx="234">
                  <c:v>225.73</c:v>
                </c:pt>
                <c:pt idx="235">
                  <c:v>225.16</c:v>
                </c:pt>
                <c:pt idx="236">
                  <c:v>231.92</c:v>
                </c:pt>
                <c:pt idx="237">
                  <c:v>226.73</c:v>
                </c:pt>
                <c:pt idx="238">
                  <c:v>226.47</c:v>
                </c:pt>
                <c:pt idx="239">
                  <c:v>225.32</c:v>
                </c:pt>
                <c:pt idx="240">
                  <c:v>226.32</c:v>
                </c:pt>
                <c:pt idx="241">
                  <c:v>225.42</c:v>
                </c:pt>
                <c:pt idx="242">
                  <c:v>227.14</c:v>
                </c:pt>
                <c:pt idx="243">
                  <c:v>227.81</c:v>
                </c:pt>
                <c:pt idx="244">
                  <c:v>219.67</c:v>
                </c:pt>
                <c:pt idx="245">
                  <c:v>215.79</c:v>
                </c:pt>
                <c:pt idx="246">
                  <c:v>215.32</c:v>
                </c:pt>
                <c:pt idx="247">
                  <c:v>221.47</c:v>
                </c:pt>
                <c:pt idx="248">
                  <c:v>221.74</c:v>
                </c:pt>
                <c:pt idx="249">
                  <c:v>221.63</c:v>
                </c:pt>
                <c:pt idx="250">
                  <c:v>219.09</c:v>
                </c:pt>
              </c:numCache>
            </c:numRef>
          </c:val>
          <c:smooth val="0"/>
          <c:extLst>
            <c:ext xmlns:c16="http://schemas.microsoft.com/office/drawing/2014/chart" uri="{C3380CC4-5D6E-409C-BE32-E72D297353CC}">
              <c16:uniqueId val="{00000001-39CA-4D79-A4DB-AF54CCDF13B6}"/>
            </c:ext>
          </c:extLst>
        </c:ser>
        <c:dLbls>
          <c:showLegendKey val="0"/>
          <c:showVal val="0"/>
          <c:showCatName val="0"/>
          <c:showSerName val="0"/>
          <c:showPercent val="0"/>
          <c:showBubbleSize val="0"/>
        </c:dLbls>
        <c:marker val="1"/>
        <c:smooth val="0"/>
        <c:axId val="264420431"/>
        <c:axId val="264412751"/>
      </c:lineChart>
      <c:dateAx>
        <c:axId val="18540175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2239"/>
        <c:crosses val="autoZero"/>
        <c:auto val="1"/>
        <c:lblOffset val="100"/>
        <c:baseTimeUnit val="days"/>
      </c:dateAx>
      <c:valAx>
        <c:axId val="185402239"/>
        <c:scaling>
          <c:orientation val="minMax"/>
          <c:min val="3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401759"/>
        <c:crosses val="autoZero"/>
        <c:crossBetween val="between"/>
      </c:valAx>
      <c:valAx>
        <c:axId val="264412751"/>
        <c:scaling>
          <c:orientation val="minMax"/>
          <c:max val="270"/>
          <c:min val="13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64420431"/>
        <c:crosses val="max"/>
        <c:crossBetween val="between"/>
      </c:valAx>
      <c:catAx>
        <c:axId val="264420431"/>
        <c:scaling>
          <c:orientation val="minMax"/>
        </c:scaling>
        <c:delete val="1"/>
        <c:axPos val="b"/>
        <c:majorTickMark val="out"/>
        <c:minorTickMark val="none"/>
        <c:tickLblPos val="nextTo"/>
        <c:crossAx val="264412751"/>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AAPL</a:t>
            </a:r>
            <a:r>
              <a:rPr lang="en-US" baseline="0"/>
              <a:t> VOHLC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38100">
              <a:noFill/>
            </a:ln>
            <a:effectLst/>
          </c:spPr>
          <c:invertIfNegative val="0"/>
          <c:cat>
            <c:numRef>
              <c:f>Apple!$A$4:$A$78</c:f>
              <c:numCache>
                <c:formatCode>m/d/yy;@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Apple!$B$4:$B$78</c:f>
              <c:numCache>
                <c:formatCode>#,##0.00</c:formatCode>
                <c:ptCount val="75"/>
                <c:pt idx="0">
                  <c:v>35928215</c:v>
                </c:pt>
                <c:pt idx="1">
                  <c:v>66153200</c:v>
                </c:pt>
                <c:pt idx="2">
                  <c:v>48999500</c:v>
                </c:pt>
                <c:pt idx="3">
                  <c:v>54870400</c:v>
                </c:pt>
                <c:pt idx="4">
                  <c:v>47549400</c:v>
                </c:pt>
                <c:pt idx="5">
                  <c:v>66427800</c:v>
                </c:pt>
                <c:pt idx="6">
                  <c:v>44075600</c:v>
                </c:pt>
                <c:pt idx="7">
                  <c:v>39418400</c:v>
                </c:pt>
                <c:pt idx="8">
                  <c:v>38074700</c:v>
                </c:pt>
                <c:pt idx="9">
                  <c:v>31259500</c:v>
                </c:pt>
                <c:pt idx="10">
                  <c:v>54575100</c:v>
                </c:pt>
                <c:pt idx="11">
                  <c:v>30983100</c:v>
                </c:pt>
                <c:pt idx="12">
                  <c:v>42477800</c:v>
                </c:pt>
                <c:pt idx="13">
                  <c:v>30621200</c:v>
                </c:pt>
                <c:pt idx="14">
                  <c:v>42263900</c:v>
                </c:pt>
                <c:pt idx="15">
                  <c:v>39402600</c:v>
                </c:pt>
                <c:pt idx="16">
                  <c:v>37476200</c:v>
                </c:pt>
                <c:pt idx="17">
                  <c:v>56038700</c:v>
                </c:pt>
                <c:pt idx="18">
                  <c:v>51916300</c:v>
                </c:pt>
                <c:pt idx="19">
                  <c:v>69878500</c:v>
                </c:pt>
                <c:pt idx="20">
                  <c:v>55626200</c:v>
                </c:pt>
                <c:pt idx="21">
                  <c:v>61806100</c:v>
                </c:pt>
                <c:pt idx="22">
                  <c:v>113854000</c:v>
                </c:pt>
                <c:pt idx="23">
                  <c:v>90224800</c:v>
                </c:pt>
                <c:pt idx="24">
                  <c:v>108483100</c:v>
                </c:pt>
                <c:pt idx="25">
                  <c:v>44155100</c:v>
                </c:pt>
                <c:pt idx="26">
                  <c:v>75109300</c:v>
                </c:pt>
                <c:pt idx="27">
                  <c:v>104434500</c:v>
                </c:pt>
                <c:pt idx="28">
                  <c:v>80698400</c:v>
                </c:pt>
                <c:pt idx="29">
                  <c:v>45512500</c:v>
                </c:pt>
                <c:pt idx="30">
                  <c:v>51411700</c:v>
                </c:pt>
                <c:pt idx="31">
                  <c:v>37858000</c:v>
                </c:pt>
                <c:pt idx="32">
                  <c:v>40268800</c:v>
                </c:pt>
                <c:pt idx="33">
                  <c:v>46022600</c:v>
                </c:pt>
                <c:pt idx="34">
                  <c:v>46989300</c:v>
                </c:pt>
                <c:pt idx="35">
                  <c:v>46404100</c:v>
                </c:pt>
                <c:pt idx="36">
                  <c:v>51377400</c:v>
                </c:pt>
                <c:pt idx="37">
                  <c:v>48974600</c:v>
                </c:pt>
                <c:pt idx="38">
                  <c:v>48068100</c:v>
                </c:pt>
                <c:pt idx="39">
                  <c:v>47490500</c:v>
                </c:pt>
                <c:pt idx="40">
                  <c:v>42296300</c:v>
                </c:pt>
                <c:pt idx="41">
                  <c:v>38840100</c:v>
                </c:pt>
                <c:pt idx="42">
                  <c:v>39765800</c:v>
                </c:pt>
                <c:pt idx="43">
                  <c:v>44443600</c:v>
                </c:pt>
                <c:pt idx="44">
                  <c:v>48749400</c:v>
                </c:pt>
                <c:pt idx="45">
                  <c:v>42848900</c:v>
                </c:pt>
                <c:pt idx="46">
                  <c:v>50229000</c:v>
                </c:pt>
                <c:pt idx="47">
                  <c:v>34955800</c:v>
                </c:pt>
                <c:pt idx="48">
                  <c:v>67941800</c:v>
                </c:pt>
                <c:pt idx="49">
                  <c:v>78788900</c:v>
                </c:pt>
                <c:pt idx="50">
                  <c:v>91912800</c:v>
                </c:pt>
                <c:pt idx="51">
                  <c:v>73188600</c:v>
                </c:pt>
                <c:pt idx="52">
                  <c:v>50799100</c:v>
                </c:pt>
                <c:pt idx="53">
                  <c:v>39525700</c:v>
                </c:pt>
                <c:pt idx="54">
                  <c:v>54064000</c:v>
                </c:pt>
                <c:pt idx="55">
                  <c:v>55814300</c:v>
                </c:pt>
                <c:pt idx="56">
                  <c:v>96813500</c:v>
                </c:pt>
                <c:pt idx="57">
                  <c:v>45394700</c:v>
                </c:pt>
                <c:pt idx="58">
                  <c:v>38856200</c:v>
                </c:pt>
                <c:pt idx="59">
                  <c:v>43020700</c:v>
                </c:pt>
                <c:pt idx="60">
                  <c:v>51447300</c:v>
                </c:pt>
                <c:pt idx="61">
                  <c:v>43904600</c:v>
                </c:pt>
                <c:pt idx="62">
                  <c:v>60989900</c:v>
                </c:pt>
                <c:pt idx="63">
                  <c:v>54672600</c:v>
                </c:pt>
                <c:pt idx="64">
                  <c:v>72862600</c:v>
                </c:pt>
                <c:pt idx="65">
                  <c:v>46607700</c:v>
                </c:pt>
                <c:pt idx="66">
                  <c:v>55126100</c:v>
                </c:pt>
                <c:pt idx="67">
                  <c:v>43604000</c:v>
                </c:pt>
                <c:pt idx="68">
                  <c:v>46381600</c:v>
                </c:pt>
                <c:pt idx="69">
                  <c:v>35423300</c:v>
                </c:pt>
                <c:pt idx="70">
                  <c:v>70819900</c:v>
                </c:pt>
                <c:pt idx="71">
                  <c:v>51396800</c:v>
                </c:pt>
                <c:pt idx="72">
                  <c:v>45339700</c:v>
                </c:pt>
                <c:pt idx="73">
                  <c:v>56288500</c:v>
                </c:pt>
                <c:pt idx="74">
                  <c:v>78432900</c:v>
                </c:pt>
              </c:numCache>
            </c:numRef>
          </c:val>
          <c:extLst>
            <c:ext xmlns:c16="http://schemas.microsoft.com/office/drawing/2014/chart" uri="{C3380CC4-5D6E-409C-BE32-E72D297353CC}">
              <c16:uniqueId val="{00000000-77BB-480F-9DAB-81751239CED2}"/>
            </c:ext>
          </c:extLst>
        </c:ser>
        <c:dLbls>
          <c:showLegendKey val="0"/>
          <c:showVal val="0"/>
          <c:showCatName val="0"/>
          <c:showSerName val="0"/>
          <c:showPercent val="0"/>
          <c:showBubbleSize val="0"/>
        </c:dLbls>
        <c:gapWidth val="150"/>
        <c:axId val="286830431"/>
        <c:axId val="286828031"/>
      </c:barChart>
      <c:stockChart>
        <c:ser>
          <c:idx val="1"/>
          <c:order val="1"/>
          <c:spPr>
            <a:ln w="38100" cap="rnd">
              <a:noFill/>
              <a:round/>
            </a:ln>
            <a:effectLst/>
          </c:spPr>
          <c:marker>
            <c:symbol val="none"/>
          </c:marker>
          <c:cat>
            <c:numRef>
              <c:f>Apple!$A$4:$A$78</c:f>
              <c:numCache>
                <c:formatCode>m/d/yy;@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Apple!$C$4:$C$78</c:f>
              <c:numCache>
                <c:formatCode>#,##0.00</c:formatCode>
                <c:ptCount val="75"/>
                <c:pt idx="0">
                  <c:v>232.02</c:v>
                </c:pt>
                <c:pt idx="1">
                  <c:v>237</c:v>
                </c:pt>
                <c:pt idx="2">
                  <c:v>239.3</c:v>
                </c:pt>
                <c:pt idx="3">
                  <c:v>240</c:v>
                </c:pt>
                <c:pt idx="4">
                  <c:v>238.45</c:v>
                </c:pt>
                <c:pt idx="5">
                  <c:v>237.21</c:v>
                </c:pt>
                <c:pt idx="6">
                  <c:v>229.25</c:v>
                </c:pt>
                <c:pt idx="7">
                  <c:v>232.51</c:v>
                </c:pt>
                <c:pt idx="8">
                  <c:v>230.82</c:v>
                </c:pt>
                <c:pt idx="9">
                  <c:v>228.61</c:v>
                </c:pt>
                <c:pt idx="10">
                  <c:v>226.87</c:v>
                </c:pt>
                <c:pt idx="11">
                  <c:v>226.48</c:v>
                </c:pt>
                <c:pt idx="12">
                  <c:v>226.17</c:v>
                </c:pt>
                <c:pt idx="13">
                  <c:v>226.27</c:v>
                </c:pt>
                <c:pt idx="14">
                  <c:v>229.98</c:v>
                </c:pt>
                <c:pt idx="15">
                  <c:v>231.28</c:v>
                </c:pt>
                <c:pt idx="16">
                  <c:v>231.7</c:v>
                </c:pt>
                <c:pt idx="17">
                  <c:v>234</c:v>
                </c:pt>
                <c:pt idx="18">
                  <c:v>234.06</c:v>
                </c:pt>
                <c:pt idx="19">
                  <c:v>231.07</c:v>
                </c:pt>
                <c:pt idx="20">
                  <c:v>228.01</c:v>
                </c:pt>
                <c:pt idx="21">
                  <c:v>227.92</c:v>
                </c:pt>
                <c:pt idx="22">
                  <c:v>220.83</c:v>
                </c:pt>
                <c:pt idx="23">
                  <c:v>218.88</c:v>
                </c:pt>
                <c:pt idx="24">
                  <c:v>205.63</c:v>
                </c:pt>
                <c:pt idx="25">
                  <c:v>203.4</c:v>
                </c:pt>
                <c:pt idx="26">
                  <c:v>204.51</c:v>
                </c:pt>
                <c:pt idx="27">
                  <c:v>210.87</c:v>
                </c:pt>
                <c:pt idx="28">
                  <c:v>208.49</c:v>
                </c:pt>
                <c:pt idx="29">
                  <c:v>211.9</c:v>
                </c:pt>
                <c:pt idx="30">
                  <c:v>214.18</c:v>
                </c:pt>
                <c:pt idx="31">
                  <c:v>214.03</c:v>
                </c:pt>
                <c:pt idx="32">
                  <c:v>214.7</c:v>
                </c:pt>
                <c:pt idx="33">
                  <c:v>213.9</c:v>
                </c:pt>
                <c:pt idx="34">
                  <c:v>215</c:v>
                </c:pt>
                <c:pt idx="35">
                  <c:v>213.14</c:v>
                </c:pt>
                <c:pt idx="36">
                  <c:v>212.1</c:v>
                </c:pt>
                <c:pt idx="37">
                  <c:v>210.87</c:v>
                </c:pt>
                <c:pt idx="38">
                  <c:v>210.57</c:v>
                </c:pt>
                <c:pt idx="39">
                  <c:v>210.3</c:v>
                </c:pt>
                <c:pt idx="40">
                  <c:v>209.22</c:v>
                </c:pt>
                <c:pt idx="41">
                  <c:v>209.93</c:v>
                </c:pt>
                <c:pt idx="42">
                  <c:v>210.57</c:v>
                </c:pt>
                <c:pt idx="43">
                  <c:v>210.51</c:v>
                </c:pt>
                <c:pt idx="44">
                  <c:v>209.53</c:v>
                </c:pt>
                <c:pt idx="45">
                  <c:v>210.1</c:v>
                </c:pt>
                <c:pt idx="46">
                  <c:v>212.68</c:v>
                </c:pt>
                <c:pt idx="47">
                  <c:v>212.15</c:v>
                </c:pt>
                <c:pt idx="48">
                  <c:v>208.91</c:v>
                </c:pt>
                <c:pt idx="49">
                  <c:v>206.67</c:v>
                </c:pt>
                <c:pt idx="50">
                  <c:v>202.01</c:v>
                </c:pt>
                <c:pt idx="51">
                  <c:v>201.89</c:v>
                </c:pt>
                <c:pt idx="52">
                  <c:v>201.43</c:v>
                </c:pt>
                <c:pt idx="53">
                  <c:v>201.45</c:v>
                </c:pt>
                <c:pt idx="54">
                  <c:v>202.59</c:v>
                </c:pt>
                <c:pt idx="55">
                  <c:v>201.63</c:v>
                </c:pt>
                <c:pt idx="56">
                  <c:v>198.24</c:v>
                </c:pt>
                <c:pt idx="57">
                  <c:v>195.94</c:v>
                </c:pt>
                <c:pt idx="58">
                  <c:v>197.2</c:v>
                </c:pt>
                <c:pt idx="59">
                  <c:v>197.3</c:v>
                </c:pt>
                <c:pt idx="60">
                  <c:v>199.73</c:v>
                </c:pt>
                <c:pt idx="61">
                  <c:v>199.08</c:v>
                </c:pt>
                <c:pt idx="62">
                  <c:v>203.5</c:v>
                </c:pt>
                <c:pt idx="63">
                  <c:v>200.6</c:v>
                </c:pt>
                <c:pt idx="64">
                  <c:v>204.39</c:v>
                </c:pt>
                <c:pt idx="65">
                  <c:v>203</c:v>
                </c:pt>
                <c:pt idx="66">
                  <c:v>203.5</c:v>
                </c:pt>
                <c:pt idx="67">
                  <c:v>202.91</c:v>
                </c:pt>
                <c:pt idx="68">
                  <c:v>201.35</c:v>
                </c:pt>
                <c:pt idx="69">
                  <c:v>200.28</c:v>
                </c:pt>
                <c:pt idx="70">
                  <c:v>199.37</c:v>
                </c:pt>
                <c:pt idx="71">
                  <c:v>203.58</c:v>
                </c:pt>
                <c:pt idx="72">
                  <c:v>200.59</c:v>
                </c:pt>
                <c:pt idx="73">
                  <c:v>198.3</c:v>
                </c:pt>
                <c:pt idx="74">
                  <c:v>193.67</c:v>
                </c:pt>
              </c:numCache>
            </c:numRef>
          </c:val>
          <c:smooth val="0"/>
          <c:extLst>
            <c:ext xmlns:c16="http://schemas.microsoft.com/office/drawing/2014/chart" uri="{C3380CC4-5D6E-409C-BE32-E72D297353CC}">
              <c16:uniqueId val="{00000001-77BB-480F-9DAB-81751239CED2}"/>
            </c:ext>
          </c:extLst>
        </c:ser>
        <c:ser>
          <c:idx val="2"/>
          <c:order val="2"/>
          <c:spPr>
            <a:ln w="38100" cap="rnd">
              <a:noFill/>
              <a:round/>
            </a:ln>
            <a:effectLst/>
          </c:spPr>
          <c:marker>
            <c:symbol val="none"/>
          </c:marker>
          <c:cat>
            <c:numRef>
              <c:f>Apple!$A$4:$A$78</c:f>
              <c:numCache>
                <c:formatCode>m/d/yy;@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Apple!$D$4:$D$78</c:f>
              <c:numCache>
                <c:formatCode>General</c:formatCode>
                <c:ptCount val="75"/>
                <c:pt idx="0">
                  <c:v>232.34</c:v>
                </c:pt>
                <c:pt idx="1">
                  <c:v>238.78</c:v>
                </c:pt>
                <c:pt idx="2">
                  <c:v>240.15</c:v>
                </c:pt>
                <c:pt idx="3">
                  <c:v>241.32</c:v>
                </c:pt>
                <c:pt idx="4">
                  <c:v>239.9</c:v>
                </c:pt>
                <c:pt idx="5">
                  <c:v>238.85</c:v>
                </c:pt>
                <c:pt idx="6">
                  <c:v>230.85</c:v>
                </c:pt>
                <c:pt idx="7">
                  <c:v>233.38</c:v>
                </c:pt>
                <c:pt idx="8">
                  <c:v>233.41</c:v>
                </c:pt>
                <c:pt idx="9">
                  <c:v>230.9</c:v>
                </c:pt>
                <c:pt idx="10">
                  <c:v>229.49</c:v>
                </c:pt>
                <c:pt idx="11">
                  <c:v>229.3</c:v>
                </c:pt>
                <c:pt idx="12">
                  <c:v>229.09</c:v>
                </c:pt>
                <c:pt idx="13">
                  <c:v>226.52</c:v>
                </c:pt>
                <c:pt idx="14">
                  <c:v>230.47</c:v>
                </c:pt>
                <c:pt idx="15">
                  <c:v>232.87</c:v>
                </c:pt>
                <c:pt idx="16">
                  <c:v>233.12</c:v>
                </c:pt>
                <c:pt idx="17">
                  <c:v>234.28</c:v>
                </c:pt>
                <c:pt idx="18">
                  <c:v>235.12</c:v>
                </c:pt>
                <c:pt idx="19">
                  <c:v>235</c:v>
                </c:pt>
                <c:pt idx="20">
                  <c:v>230.8</c:v>
                </c:pt>
                <c:pt idx="21">
                  <c:v>229.56</c:v>
                </c:pt>
                <c:pt idx="22">
                  <c:v>231</c:v>
                </c:pt>
                <c:pt idx="23">
                  <c:v>220.85</c:v>
                </c:pt>
                <c:pt idx="24">
                  <c:v>215.38</c:v>
                </c:pt>
                <c:pt idx="25">
                  <c:v>205.34</c:v>
                </c:pt>
                <c:pt idx="26">
                  <c:v>207.88</c:v>
                </c:pt>
                <c:pt idx="27">
                  <c:v>213.58</c:v>
                </c:pt>
                <c:pt idx="28">
                  <c:v>209.84</c:v>
                </c:pt>
                <c:pt idx="29">
                  <c:v>212.39</c:v>
                </c:pt>
                <c:pt idx="30">
                  <c:v>214.81</c:v>
                </c:pt>
                <c:pt idx="31">
                  <c:v>214.85</c:v>
                </c:pt>
                <c:pt idx="32">
                  <c:v>215.24</c:v>
                </c:pt>
                <c:pt idx="33">
                  <c:v>215.69</c:v>
                </c:pt>
                <c:pt idx="34">
                  <c:v>215.15</c:v>
                </c:pt>
                <c:pt idx="35">
                  <c:v>214.95</c:v>
                </c:pt>
                <c:pt idx="36">
                  <c:v>215.78</c:v>
                </c:pt>
                <c:pt idx="37">
                  <c:v>211.79</c:v>
                </c:pt>
                <c:pt idx="38">
                  <c:v>211.8</c:v>
                </c:pt>
                <c:pt idx="39">
                  <c:v>212.4</c:v>
                </c:pt>
                <c:pt idx="40">
                  <c:v>211.89</c:v>
                </c:pt>
                <c:pt idx="41">
                  <c:v>210.91</c:v>
                </c:pt>
                <c:pt idx="42">
                  <c:v>212.13</c:v>
                </c:pt>
                <c:pt idx="43">
                  <c:v>213.48</c:v>
                </c:pt>
                <c:pt idx="44">
                  <c:v>211.33</c:v>
                </c:pt>
                <c:pt idx="45">
                  <c:v>211.43</c:v>
                </c:pt>
                <c:pt idx="46">
                  <c:v>216.23</c:v>
                </c:pt>
                <c:pt idx="47">
                  <c:v>214.65</c:v>
                </c:pt>
                <c:pt idx="48">
                  <c:v>213.34</c:v>
                </c:pt>
                <c:pt idx="49">
                  <c:v>210.19</c:v>
                </c:pt>
                <c:pt idx="50">
                  <c:v>207.39</c:v>
                </c:pt>
                <c:pt idx="51">
                  <c:v>203.22</c:v>
                </c:pt>
                <c:pt idx="52">
                  <c:v>202.64</c:v>
                </c:pt>
                <c:pt idx="53">
                  <c:v>203.67</c:v>
                </c:pt>
                <c:pt idx="54">
                  <c:v>203.44</c:v>
                </c:pt>
                <c:pt idx="55">
                  <c:v>202.3</c:v>
                </c:pt>
                <c:pt idx="56">
                  <c:v>201.7</c:v>
                </c:pt>
                <c:pt idx="57">
                  <c:v>197.57</c:v>
                </c:pt>
                <c:pt idx="58">
                  <c:v>198.39</c:v>
                </c:pt>
                <c:pt idx="59">
                  <c:v>198.69</c:v>
                </c:pt>
                <c:pt idx="60">
                  <c:v>200.37</c:v>
                </c:pt>
                <c:pt idx="61">
                  <c:v>199.68</c:v>
                </c:pt>
                <c:pt idx="62">
                  <c:v>204.5</c:v>
                </c:pt>
                <c:pt idx="63">
                  <c:v>204.35</c:v>
                </c:pt>
                <c:pt idx="64">
                  <c:v>206</c:v>
                </c:pt>
                <c:pt idx="65">
                  <c:v>205.7</c:v>
                </c:pt>
                <c:pt idx="66">
                  <c:v>204.75</c:v>
                </c:pt>
                <c:pt idx="67">
                  <c:v>206.24</c:v>
                </c:pt>
                <c:pt idx="68">
                  <c:v>203.77</c:v>
                </c:pt>
                <c:pt idx="69">
                  <c:v>202.13</c:v>
                </c:pt>
                <c:pt idx="70">
                  <c:v>201.96</c:v>
                </c:pt>
                <c:pt idx="71">
                  <c:v>203.81</c:v>
                </c:pt>
                <c:pt idx="72">
                  <c:v>202.73</c:v>
                </c:pt>
                <c:pt idx="73">
                  <c:v>200.74</c:v>
                </c:pt>
                <c:pt idx="74">
                  <c:v>197.7</c:v>
                </c:pt>
              </c:numCache>
            </c:numRef>
          </c:val>
          <c:smooth val="0"/>
          <c:extLst>
            <c:ext xmlns:c16="http://schemas.microsoft.com/office/drawing/2014/chart" uri="{C3380CC4-5D6E-409C-BE32-E72D297353CC}">
              <c16:uniqueId val="{00000002-77BB-480F-9DAB-81751239CED2}"/>
            </c:ext>
          </c:extLst>
        </c:ser>
        <c:ser>
          <c:idx val="3"/>
          <c:order val="3"/>
          <c:spPr>
            <a:ln w="38100" cap="rnd">
              <a:noFill/>
              <a:round/>
            </a:ln>
            <a:effectLst/>
          </c:spPr>
          <c:marker>
            <c:symbol val="none"/>
          </c:marker>
          <c:cat>
            <c:numRef>
              <c:f>Apple!$A$4:$A$78</c:f>
              <c:numCache>
                <c:formatCode>m/d/yy;@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Apple!$E$4:$E$78</c:f>
              <c:numCache>
                <c:formatCode>#,##0.00</c:formatCode>
                <c:ptCount val="75"/>
                <c:pt idx="0">
                  <c:v>226.37</c:v>
                </c:pt>
                <c:pt idx="1">
                  <c:v>233.36</c:v>
                </c:pt>
                <c:pt idx="2">
                  <c:v>236.34</c:v>
                </c:pt>
                <c:pt idx="3">
                  <c:v>238.49</c:v>
                </c:pt>
                <c:pt idx="4">
                  <c:v>236.74</c:v>
                </c:pt>
                <c:pt idx="5">
                  <c:v>234.36</c:v>
                </c:pt>
                <c:pt idx="6">
                  <c:v>226.97</c:v>
                </c:pt>
                <c:pt idx="7">
                  <c:v>231.37</c:v>
                </c:pt>
                <c:pt idx="8">
                  <c:v>229.34</c:v>
                </c:pt>
                <c:pt idx="9">
                  <c:v>228.26</c:v>
                </c:pt>
                <c:pt idx="10">
                  <c:v>224.69</c:v>
                </c:pt>
                <c:pt idx="11">
                  <c:v>226.23</c:v>
                </c:pt>
                <c:pt idx="12">
                  <c:v>225.41</c:v>
                </c:pt>
                <c:pt idx="13">
                  <c:v>223.78</c:v>
                </c:pt>
                <c:pt idx="14">
                  <c:v>225.77</c:v>
                </c:pt>
                <c:pt idx="15">
                  <c:v>229.35</c:v>
                </c:pt>
                <c:pt idx="16">
                  <c:v>230.11</c:v>
                </c:pt>
                <c:pt idx="17">
                  <c:v>229.34</c:v>
                </c:pt>
                <c:pt idx="18">
                  <c:v>230.85</c:v>
                </c:pt>
                <c:pt idx="19">
                  <c:v>230.43</c:v>
                </c:pt>
                <c:pt idx="20">
                  <c:v>227.07</c:v>
                </c:pt>
                <c:pt idx="21">
                  <c:v>224.76</c:v>
                </c:pt>
                <c:pt idx="22">
                  <c:v>219.25</c:v>
                </c:pt>
                <c:pt idx="23">
                  <c:v>216.58</c:v>
                </c:pt>
                <c:pt idx="24">
                  <c:v>205.59</c:v>
                </c:pt>
                <c:pt idx="25">
                  <c:v>202.16</c:v>
                </c:pt>
                <c:pt idx="26">
                  <c:v>201.68</c:v>
                </c:pt>
                <c:pt idx="27">
                  <c:v>201.5</c:v>
                </c:pt>
                <c:pt idx="28">
                  <c:v>207.16</c:v>
                </c:pt>
                <c:pt idx="29">
                  <c:v>207.72</c:v>
                </c:pt>
                <c:pt idx="30">
                  <c:v>210.82</c:v>
                </c:pt>
                <c:pt idx="31">
                  <c:v>213.06</c:v>
                </c:pt>
                <c:pt idx="32">
                  <c:v>213.4</c:v>
                </c:pt>
                <c:pt idx="33">
                  <c:v>213.53</c:v>
                </c:pt>
                <c:pt idx="34">
                  <c:v>212.41</c:v>
                </c:pt>
                <c:pt idx="35">
                  <c:v>212.23</c:v>
                </c:pt>
                <c:pt idx="36">
                  <c:v>211.63</c:v>
                </c:pt>
                <c:pt idx="37">
                  <c:v>209.7</c:v>
                </c:pt>
                <c:pt idx="38">
                  <c:v>209.59</c:v>
                </c:pt>
                <c:pt idx="39">
                  <c:v>208.64</c:v>
                </c:pt>
                <c:pt idx="40">
                  <c:v>208.92</c:v>
                </c:pt>
                <c:pt idx="41">
                  <c:v>207.54</c:v>
                </c:pt>
                <c:pt idx="42">
                  <c:v>209.86</c:v>
                </c:pt>
                <c:pt idx="43">
                  <c:v>210.03</c:v>
                </c:pt>
                <c:pt idx="44">
                  <c:v>207.22</c:v>
                </c:pt>
                <c:pt idx="45">
                  <c:v>208.45</c:v>
                </c:pt>
                <c:pt idx="46">
                  <c:v>208.8</c:v>
                </c:pt>
                <c:pt idx="47">
                  <c:v>211.81</c:v>
                </c:pt>
                <c:pt idx="48">
                  <c:v>208.14</c:v>
                </c:pt>
                <c:pt idx="49">
                  <c:v>206.14</c:v>
                </c:pt>
                <c:pt idx="50">
                  <c:v>199.26</c:v>
                </c:pt>
                <c:pt idx="51">
                  <c:v>200</c:v>
                </c:pt>
                <c:pt idx="52">
                  <c:v>199.46</c:v>
                </c:pt>
                <c:pt idx="53">
                  <c:v>200.62</c:v>
                </c:pt>
                <c:pt idx="54">
                  <c:v>200.2</c:v>
                </c:pt>
                <c:pt idx="55">
                  <c:v>198.96</c:v>
                </c:pt>
                <c:pt idx="56">
                  <c:v>196.86</c:v>
                </c:pt>
                <c:pt idx="57">
                  <c:v>195.07</c:v>
                </c:pt>
                <c:pt idx="58">
                  <c:v>195.21</c:v>
                </c:pt>
                <c:pt idx="59">
                  <c:v>196.56</c:v>
                </c:pt>
                <c:pt idx="60">
                  <c:v>195.7</c:v>
                </c:pt>
                <c:pt idx="61">
                  <c:v>197.36</c:v>
                </c:pt>
                <c:pt idx="62">
                  <c:v>198.41</c:v>
                </c:pt>
                <c:pt idx="63">
                  <c:v>200.57</c:v>
                </c:pt>
                <c:pt idx="64">
                  <c:v>200.02</c:v>
                </c:pt>
                <c:pt idx="65">
                  <c:v>202.05</c:v>
                </c:pt>
                <c:pt idx="66">
                  <c:v>200.15</c:v>
                </c:pt>
                <c:pt idx="67">
                  <c:v>202.1</c:v>
                </c:pt>
                <c:pt idx="68">
                  <c:v>200.96</c:v>
                </c:pt>
                <c:pt idx="69">
                  <c:v>200.12</c:v>
                </c:pt>
                <c:pt idx="70">
                  <c:v>196.78</c:v>
                </c:pt>
                <c:pt idx="71">
                  <c:v>198.51</c:v>
                </c:pt>
                <c:pt idx="72">
                  <c:v>199.9</c:v>
                </c:pt>
                <c:pt idx="73">
                  <c:v>197.43</c:v>
                </c:pt>
                <c:pt idx="74">
                  <c:v>193.46</c:v>
                </c:pt>
              </c:numCache>
            </c:numRef>
          </c:val>
          <c:smooth val="0"/>
          <c:extLst>
            <c:ext xmlns:c16="http://schemas.microsoft.com/office/drawing/2014/chart" uri="{C3380CC4-5D6E-409C-BE32-E72D297353CC}">
              <c16:uniqueId val="{00000003-77BB-480F-9DAB-81751239CED2}"/>
            </c:ext>
          </c:extLst>
        </c:ser>
        <c:ser>
          <c:idx val="4"/>
          <c:order val="4"/>
          <c:spPr>
            <a:ln w="38100" cap="rnd">
              <a:noFill/>
              <a:round/>
            </a:ln>
            <a:effectLst/>
          </c:spPr>
          <c:marker>
            <c:symbol val="none"/>
          </c:marker>
          <c:cat>
            <c:numRef>
              <c:f>Apple!$A$4:$A$78</c:f>
              <c:numCache>
                <c:formatCode>m/d/yy;@</c:formatCode>
                <c:ptCount val="75"/>
                <c:pt idx="0">
                  <c:v>46032</c:v>
                </c:pt>
                <c:pt idx="1">
                  <c:v>46031</c:v>
                </c:pt>
                <c:pt idx="2">
                  <c:v>46030</c:v>
                </c:pt>
                <c:pt idx="3">
                  <c:v>46027</c:v>
                </c:pt>
                <c:pt idx="4">
                  <c:v>46026</c:v>
                </c:pt>
                <c:pt idx="5">
                  <c:v>46025</c:v>
                </c:pt>
                <c:pt idx="6">
                  <c:v>46024</c:v>
                </c:pt>
                <c:pt idx="7">
                  <c:v>46020</c:v>
                </c:pt>
                <c:pt idx="8">
                  <c:v>46019</c:v>
                </c:pt>
                <c:pt idx="9">
                  <c:v>46018</c:v>
                </c:pt>
                <c:pt idx="10">
                  <c:v>46017</c:v>
                </c:pt>
                <c:pt idx="11">
                  <c:v>46016</c:v>
                </c:pt>
                <c:pt idx="12">
                  <c:v>46013</c:v>
                </c:pt>
                <c:pt idx="13">
                  <c:v>46012</c:v>
                </c:pt>
                <c:pt idx="14">
                  <c:v>46011</c:v>
                </c:pt>
                <c:pt idx="15">
                  <c:v>46010</c:v>
                </c:pt>
                <c:pt idx="16">
                  <c:v>46009</c:v>
                </c:pt>
                <c:pt idx="17">
                  <c:v>46006</c:v>
                </c:pt>
                <c:pt idx="18">
                  <c:v>46005</c:v>
                </c:pt>
                <c:pt idx="19">
                  <c:v>46004</c:v>
                </c:pt>
                <c:pt idx="20">
                  <c:v>46003</c:v>
                </c:pt>
                <c:pt idx="21">
                  <c:v>46002</c:v>
                </c:pt>
                <c:pt idx="22">
                  <c:v>45999</c:v>
                </c:pt>
                <c:pt idx="23">
                  <c:v>45998</c:v>
                </c:pt>
                <c:pt idx="24">
                  <c:v>45997</c:v>
                </c:pt>
                <c:pt idx="25">
                  <c:v>45996</c:v>
                </c:pt>
                <c:pt idx="26">
                  <c:v>45995</c:v>
                </c:pt>
                <c:pt idx="27">
                  <c:v>45992</c:v>
                </c:pt>
                <c:pt idx="28">
                  <c:v>45991</c:v>
                </c:pt>
                <c:pt idx="29">
                  <c:v>45990</c:v>
                </c:pt>
                <c:pt idx="30">
                  <c:v>45989</c:v>
                </c:pt>
                <c:pt idx="31">
                  <c:v>45988</c:v>
                </c:pt>
                <c:pt idx="32">
                  <c:v>45985</c:v>
                </c:pt>
                <c:pt idx="33">
                  <c:v>45984</c:v>
                </c:pt>
                <c:pt idx="34">
                  <c:v>45983</c:v>
                </c:pt>
                <c:pt idx="35">
                  <c:v>45982</c:v>
                </c:pt>
                <c:pt idx="36">
                  <c:v>45981</c:v>
                </c:pt>
                <c:pt idx="37">
                  <c:v>45978</c:v>
                </c:pt>
                <c:pt idx="38">
                  <c:v>45977</c:v>
                </c:pt>
                <c:pt idx="39">
                  <c:v>45976</c:v>
                </c:pt>
                <c:pt idx="40">
                  <c:v>45975</c:v>
                </c:pt>
                <c:pt idx="41">
                  <c:v>45974</c:v>
                </c:pt>
                <c:pt idx="42">
                  <c:v>45971</c:v>
                </c:pt>
                <c:pt idx="43">
                  <c:v>45970</c:v>
                </c:pt>
                <c:pt idx="44">
                  <c:v>45969</c:v>
                </c:pt>
                <c:pt idx="45">
                  <c:v>45968</c:v>
                </c:pt>
                <c:pt idx="46">
                  <c:v>45967</c:v>
                </c:pt>
                <c:pt idx="47">
                  <c:v>45963</c:v>
                </c:pt>
                <c:pt idx="48">
                  <c:v>45962</c:v>
                </c:pt>
                <c:pt idx="49">
                  <c:v>45961</c:v>
                </c:pt>
                <c:pt idx="50">
                  <c:v>45960</c:v>
                </c:pt>
                <c:pt idx="51">
                  <c:v>45957</c:v>
                </c:pt>
                <c:pt idx="52">
                  <c:v>45956</c:v>
                </c:pt>
                <c:pt idx="53">
                  <c:v>45955</c:v>
                </c:pt>
                <c:pt idx="54">
                  <c:v>45954</c:v>
                </c:pt>
                <c:pt idx="55">
                  <c:v>45953</c:v>
                </c:pt>
                <c:pt idx="56">
                  <c:v>45950</c:v>
                </c:pt>
                <c:pt idx="57">
                  <c:v>45948</c:v>
                </c:pt>
                <c:pt idx="58">
                  <c:v>45947</c:v>
                </c:pt>
                <c:pt idx="59">
                  <c:v>45946</c:v>
                </c:pt>
                <c:pt idx="60">
                  <c:v>45943</c:v>
                </c:pt>
                <c:pt idx="61">
                  <c:v>45942</c:v>
                </c:pt>
                <c:pt idx="62">
                  <c:v>45941</c:v>
                </c:pt>
                <c:pt idx="63">
                  <c:v>45940</c:v>
                </c:pt>
                <c:pt idx="64">
                  <c:v>45939</c:v>
                </c:pt>
                <c:pt idx="65">
                  <c:v>45936</c:v>
                </c:pt>
                <c:pt idx="66">
                  <c:v>45935</c:v>
                </c:pt>
                <c:pt idx="67">
                  <c:v>45934</c:v>
                </c:pt>
                <c:pt idx="68">
                  <c:v>45933</c:v>
                </c:pt>
                <c:pt idx="69">
                  <c:v>45932</c:v>
                </c:pt>
                <c:pt idx="70">
                  <c:v>45929</c:v>
                </c:pt>
                <c:pt idx="71">
                  <c:v>45928</c:v>
                </c:pt>
                <c:pt idx="72">
                  <c:v>45927</c:v>
                </c:pt>
                <c:pt idx="73">
                  <c:v>45926</c:v>
                </c:pt>
                <c:pt idx="74">
                  <c:v>45922</c:v>
                </c:pt>
              </c:numCache>
            </c:numRef>
          </c:cat>
          <c:val>
            <c:numRef>
              <c:f>Apple!$F$4:$F$78</c:f>
              <c:numCache>
                <c:formatCode>#,##0.00</c:formatCode>
                <c:ptCount val="75"/>
                <c:pt idx="0">
                  <c:v>226.6</c:v>
                </c:pt>
                <c:pt idx="1">
                  <c:v>234.35</c:v>
                </c:pt>
                <c:pt idx="2">
                  <c:v>237.88</c:v>
                </c:pt>
                <c:pt idx="3">
                  <c:v>239.69</c:v>
                </c:pt>
                <c:pt idx="4">
                  <c:v>239.78</c:v>
                </c:pt>
                <c:pt idx="5">
                  <c:v>238.47</c:v>
                </c:pt>
                <c:pt idx="6">
                  <c:v>229.72</c:v>
                </c:pt>
                <c:pt idx="7">
                  <c:v>232.14</c:v>
                </c:pt>
                <c:pt idx="8">
                  <c:v>232.56</c:v>
                </c:pt>
                <c:pt idx="9">
                  <c:v>230.49</c:v>
                </c:pt>
                <c:pt idx="10">
                  <c:v>229.31</c:v>
                </c:pt>
                <c:pt idx="11">
                  <c:v>227.16</c:v>
                </c:pt>
                <c:pt idx="12">
                  <c:v>227.76</c:v>
                </c:pt>
                <c:pt idx="13">
                  <c:v>224.9</c:v>
                </c:pt>
                <c:pt idx="14">
                  <c:v>226.01</c:v>
                </c:pt>
                <c:pt idx="15">
                  <c:v>230.56</c:v>
                </c:pt>
                <c:pt idx="16">
                  <c:v>230.89</c:v>
                </c:pt>
                <c:pt idx="17">
                  <c:v>231.59</c:v>
                </c:pt>
                <c:pt idx="18">
                  <c:v>232.78</c:v>
                </c:pt>
                <c:pt idx="19">
                  <c:v>233.33</c:v>
                </c:pt>
                <c:pt idx="20">
                  <c:v>229.65</c:v>
                </c:pt>
                <c:pt idx="21">
                  <c:v>227.18</c:v>
                </c:pt>
                <c:pt idx="22">
                  <c:v>229.09</c:v>
                </c:pt>
                <c:pt idx="23">
                  <c:v>219.78</c:v>
                </c:pt>
                <c:pt idx="24">
                  <c:v>213.01</c:v>
                </c:pt>
                <c:pt idx="25">
                  <c:v>202.69</c:v>
                </c:pt>
                <c:pt idx="26">
                  <c:v>203.12</c:v>
                </c:pt>
                <c:pt idx="27">
                  <c:v>202.15</c:v>
                </c:pt>
                <c:pt idx="28">
                  <c:v>207.33</c:v>
                </c:pt>
                <c:pt idx="29">
                  <c:v>208.81</c:v>
                </c:pt>
                <c:pt idx="30">
                  <c:v>211.03</c:v>
                </c:pt>
                <c:pt idx="31">
                  <c:v>213.81</c:v>
                </c:pt>
                <c:pt idx="32">
                  <c:v>213.64</c:v>
                </c:pt>
                <c:pt idx="33">
                  <c:v>213.52</c:v>
                </c:pt>
                <c:pt idx="34">
                  <c:v>213.91</c:v>
                </c:pt>
                <c:pt idx="35">
                  <c:v>214.16</c:v>
                </c:pt>
                <c:pt idx="36">
                  <c:v>212.24</c:v>
                </c:pt>
                <c:pt idx="37">
                  <c:v>210.94</c:v>
                </c:pt>
                <c:pt idx="38">
                  <c:v>209.78</c:v>
                </c:pt>
                <c:pt idx="39">
                  <c:v>209.92</c:v>
                </c:pt>
                <c:pt idx="40">
                  <c:v>208.87</c:v>
                </c:pt>
                <c:pt idx="41">
                  <c:v>208.38</c:v>
                </c:pt>
                <c:pt idx="42">
                  <c:v>210.92</c:v>
                </c:pt>
                <c:pt idx="43">
                  <c:v>212.17</c:v>
                </c:pt>
                <c:pt idx="44">
                  <c:v>210.9</c:v>
                </c:pt>
                <c:pt idx="45">
                  <c:v>209.77</c:v>
                </c:pt>
                <c:pt idx="46">
                  <c:v>209.71</c:v>
                </c:pt>
                <c:pt idx="47">
                  <c:v>213.31</c:v>
                </c:pt>
                <c:pt idx="48">
                  <c:v>212.2</c:v>
                </c:pt>
                <c:pt idx="49">
                  <c:v>207.58</c:v>
                </c:pt>
                <c:pt idx="50">
                  <c:v>204.94</c:v>
                </c:pt>
                <c:pt idx="51">
                  <c:v>200.85</c:v>
                </c:pt>
                <c:pt idx="52">
                  <c:v>200.77</c:v>
                </c:pt>
                <c:pt idx="53">
                  <c:v>201.33</c:v>
                </c:pt>
                <c:pt idx="54">
                  <c:v>200.07</c:v>
                </c:pt>
                <c:pt idx="55">
                  <c:v>201.27</c:v>
                </c:pt>
                <c:pt idx="56">
                  <c:v>200.77</c:v>
                </c:pt>
                <c:pt idx="57">
                  <c:v>196.36</c:v>
                </c:pt>
                <c:pt idx="58">
                  <c:v>195.42</c:v>
                </c:pt>
                <c:pt idx="59">
                  <c:v>198.2</c:v>
                </c:pt>
                <c:pt idx="60">
                  <c:v>196.23</c:v>
                </c:pt>
                <c:pt idx="61">
                  <c:v>198.97</c:v>
                </c:pt>
                <c:pt idx="62">
                  <c:v>198.55</c:v>
                </c:pt>
                <c:pt idx="63">
                  <c:v>202.44</c:v>
                </c:pt>
                <c:pt idx="64">
                  <c:v>201.22</c:v>
                </c:pt>
                <c:pt idx="65">
                  <c:v>203.69</c:v>
                </c:pt>
                <c:pt idx="66">
                  <c:v>200.4</c:v>
                </c:pt>
                <c:pt idx="67">
                  <c:v>202.59</c:v>
                </c:pt>
                <c:pt idx="68">
                  <c:v>203.04</c:v>
                </c:pt>
                <c:pt idx="69">
                  <c:v>201.47</c:v>
                </c:pt>
                <c:pt idx="70">
                  <c:v>200.62</c:v>
                </c:pt>
                <c:pt idx="71">
                  <c:v>199.72</c:v>
                </c:pt>
                <c:pt idx="72">
                  <c:v>200.19</c:v>
                </c:pt>
                <c:pt idx="73">
                  <c:v>199.98</c:v>
                </c:pt>
                <c:pt idx="74">
                  <c:v>195.05</c:v>
                </c:pt>
              </c:numCache>
            </c:numRef>
          </c:val>
          <c:smooth val="0"/>
          <c:extLst>
            <c:ext xmlns:c16="http://schemas.microsoft.com/office/drawing/2014/chart" uri="{C3380CC4-5D6E-409C-BE32-E72D297353CC}">
              <c16:uniqueId val="{00000004-77BB-480F-9DAB-81751239CED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B050"/>
              </a:solidFill>
              <a:ln w="9525" cap="flat" cmpd="sng" algn="ctr">
                <a:solidFill>
                  <a:schemeClr val="tx1">
                    <a:lumMod val="65000"/>
                    <a:lumOff val="35000"/>
                  </a:schemeClr>
                </a:solidFill>
                <a:round/>
              </a:ln>
              <a:effectLst/>
            </c:spPr>
          </c:upBars>
          <c:downBars>
            <c:spPr>
              <a:solidFill>
                <a:srgbClr val="FF0000"/>
              </a:solidFill>
              <a:ln w="9525" cap="flat" cmpd="sng" algn="ctr">
                <a:solidFill>
                  <a:schemeClr val="tx1">
                    <a:lumMod val="65000"/>
                    <a:lumOff val="35000"/>
                  </a:schemeClr>
                </a:solidFill>
                <a:round/>
              </a:ln>
              <a:effectLst/>
            </c:spPr>
          </c:downBars>
        </c:upDownBars>
        <c:axId val="286831871"/>
        <c:axId val="286829951"/>
      </c:stockChart>
      <c:dateAx>
        <c:axId val="286830431"/>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28031"/>
        <c:crosses val="autoZero"/>
        <c:auto val="1"/>
        <c:lblOffset val="100"/>
        <c:baseTimeUnit val="days"/>
      </c:dateAx>
      <c:valAx>
        <c:axId val="286828031"/>
        <c:scaling>
          <c:orientation val="minMax"/>
          <c:max val="2500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30431"/>
        <c:crosses val="autoZero"/>
        <c:crossBetween val="between"/>
      </c:valAx>
      <c:valAx>
        <c:axId val="286829951"/>
        <c:scaling>
          <c:orientation val="minMax"/>
          <c:max val="250"/>
          <c:min val="150"/>
        </c:scaling>
        <c:delete val="0"/>
        <c:axPos val="r"/>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31871"/>
        <c:crosses val="max"/>
        <c:crossBetween val="between"/>
      </c:valAx>
      <c:dateAx>
        <c:axId val="286831871"/>
        <c:scaling>
          <c:orientation val="minMax"/>
        </c:scaling>
        <c:delete val="1"/>
        <c:axPos val="b"/>
        <c:numFmt formatCode="m/d/yy;@" sourceLinked="1"/>
        <c:majorTickMark val="out"/>
        <c:minorTickMark val="none"/>
        <c:tickLblPos val="nextTo"/>
        <c:crossAx val="286829951"/>
        <c:auto val="1"/>
        <c:lblOffset val="1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My Cashflow</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My Cashflow</a:t>
          </a:r>
        </a:p>
      </cx:txPr>
    </cx:title>
    <cx:plotArea>
      <cx:plotAreaRegion>
        <cx:series layoutId="waterfall" uniqueId="{E07F7BED-9681-43B7-B55D-2B2F59D3DD6C}">
          <cx:tx>
            <cx:txData>
              <cx:f>_xlchart.v1.1</cx:f>
              <cx:v>Amount</cx:v>
            </cx:txData>
          </cx:tx>
          <cx:spPr>
            <a:solidFill>
              <a:srgbClr val="FF0000"/>
            </a:solidFill>
          </cx:spPr>
          <cx:dataPt idx="0">
            <cx:spPr>
              <a:solidFill>
                <a:srgbClr val="00B050"/>
              </a:solidFill>
            </cx:spPr>
          </cx:dataPt>
          <cx:dataPt idx="18">
            <cx:spPr>
              <a:solidFill>
                <a:srgbClr val="00B050"/>
              </a:solidFill>
            </cx:spPr>
          </cx:dataPt>
          <cx:dataPt idx="42">
            <cx:spPr>
              <a:solidFill>
                <a:srgbClr val="0070C0"/>
              </a:solidFill>
            </cx:spPr>
          </cx:dataPt>
          <cx:dataLabels pos="outEnd">
            <cx:visibility seriesName="0" categoryName="0" value="1"/>
          </cx:dataLabels>
          <cx:dataId val="0"/>
          <cx:layoutPr>
            <cx:subtotals>
              <cx:idx val="42"/>
            </cx:subtotals>
          </cx:layoutPr>
        </cx:series>
      </cx:plotAreaRegion>
      <cx:axis id="0">
        <cx:catScaling gapWidth="0.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25977</xdr:colOff>
      <xdr:row>0</xdr:row>
      <xdr:rowOff>0</xdr:rowOff>
    </xdr:from>
    <xdr:to>
      <xdr:col>19</xdr:col>
      <xdr:colOff>25977</xdr:colOff>
      <xdr:row>28</xdr:row>
      <xdr:rowOff>180975</xdr:rowOff>
    </xdr:to>
    <xdr:graphicFrame macro="">
      <xdr:nvGraphicFramePr>
        <xdr:cNvPr id="2" name="Chart 1">
          <a:extLst>
            <a:ext uri="{FF2B5EF4-FFF2-40B4-BE49-F238E27FC236}">
              <a16:creationId xmlns:a16="http://schemas.microsoft.com/office/drawing/2014/main" id="{E2EDB68B-B7C8-352A-6792-256839251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1019174</xdr:colOff>
      <xdr:row>0</xdr:row>
      <xdr:rowOff>0</xdr:rowOff>
    </xdr:from>
    <xdr:to>
      <xdr:col>13</xdr:col>
      <xdr:colOff>19049</xdr:colOff>
      <xdr:row>17</xdr:row>
      <xdr:rowOff>19050</xdr:rowOff>
    </xdr:to>
    <xdr:graphicFrame macro="">
      <xdr:nvGraphicFramePr>
        <xdr:cNvPr id="8" name="Chart 7">
          <a:extLst>
            <a:ext uri="{FF2B5EF4-FFF2-40B4-BE49-F238E27FC236}">
              <a16:creationId xmlns:a16="http://schemas.microsoft.com/office/drawing/2014/main" id="{E547B63D-A678-F095-6504-74A97D0BD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1019175</xdr:colOff>
      <xdr:row>17</xdr:row>
      <xdr:rowOff>23812</xdr:rowOff>
    </xdr:from>
    <xdr:to>
      <xdr:col>13</xdr:col>
      <xdr:colOff>47625</xdr:colOff>
      <xdr:row>34</xdr:row>
      <xdr:rowOff>0</xdr:rowOff>
    </xdr:to>
    <xdr:graphicFrame macro="">
      <xdr:nvGraphicFramePr>
        <xdr:cNvPr id="9" name="Chart 8">
          <a:extLst>
            <a:ext uri="{FF2B5EF4-FFF2-40B4-BE49-F238E27FC236}">
              <a16:creationId xmlns:a16="http://schemas.microsoft.com/office/drawing/2014/main" id="{F15F0950-A4AD-E67D-C513-52A789D27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1028699</xdr:colOff>
      <xdr:row>34</xdr:row>
      <xdr:rowOff>14286</xdr:rowOff>
    </xdr:from>
    <xdr:to>
      <xdr:col>13</xdr:col>
      <xdr:colOff>28574</xdr:colOff>
      <xdr:row>52</xdr:row>
      <xdr:rowOff>190499</xdr:rowOff>
    </xdr:to>
    <xdr:graphicFrame macro="">
      <xdr:nvGraphicFramePr>
        <xdr:cNvPr id="10" name="Chart 9">
          <a:extLst>
            <a:ext uri="{FF2B5EF4-FFF2-40B4-BE49-F238E27FC236}">
              <a16:creationId xmlns:a16="http://schemas.microsoft.com/office/drawing/2014/main" id="{4B6EBBF9-5C94-8AF9-2BC3-3B39396AF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9525</xdr:colOff>
      <xdr:row>0</xdr:row>
      <xdr:rowOff>0</xdr:rowOff>
    </xdr:from>
    <xdr:to>
      <xdr:col>13</xdr:col>
      <xdr:colOff>9525</xdr:colOff>
      <xdr:row>17</xdr:row>
      <xdr:rowOff>19050</xdr:rowOff>
    </xdr:to>
    <xdr:graphicFrame macro="">
      <xdr:nvGraphicFramePr>
        <xdr:cNvPr id="2" name="Chart 1">
          <a:extLst>
            <a:ext uri="{FF2B5EF4-FFF2-40B4-BE49-F238E27FC236}">
              <a16:creationId xmlns:a16="http://schemas.microsoft.com/office/drawing/2014/main" id="{D42ABFD9-7921-48C4-AE86-54AB08854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609599</xdr:colOff>
      <xdr:row>17</xdr:row>
      <xdr:rowOff>14286</xdr:rowOff>
    </xdr:from>
    <xdr:to>
      <xdr:col>13</xdr:col>
      <xdr:colOff>9525</xdr:colOff>
      <xdr:row>34</xdr:row>
      <xdr:rowOff>9525</xdr:rowOff>
    </xdr:to>
    <xdr:graphicFrame macro="">
      <xdr:nvGraphicFramePr>
        <xdr:cNvPr id="3" name="Chart 2">
          <a:extLst>
            <a:ext uri="{FF2B5EF4-FFF2-40B4-BE49-F238E27FC236}">
              <a16:creationId xmlns:a16="http://schemas.microsoft.com/office/drawing/2014/main" id="{2D84FC7F-1EEE-464F-B4F0-849FDC492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9524</xdr:colOff>
      <xdr:row>34</xdr:row>
      <xdr:rowOff>9525</xdr:rowOff>
    </xdr:from>
    <xdr:to>
      <xdr:col>12</xdr:col>
      <xdr:colOff>1047749</xdr:colOff>
      <xdr:row>53</xdr:row>
      <xdr:rowOff>9524</xdr:rowOff>
    </xdr:to>
    <xdr:graphicFrame macro="">
      <xdr:nvGraphicFramePr>
        <xdr:cNvPr id="4" name="Chart 3">
          <a:extLst>
            <a:ext uri="{FF2B5EF4-FFF2-40B4-BE49-F238E27FC236}">
              <a16:creationId xmlns:a16="http://schemas.microsoft.com/office/drawing/2014/main" id="{658E12A8-7D6F-AD1B-9444-0CF90756C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600074</xdr:colOff>
      <xdr:row>2</xdr:row>
      <xdr:rowOff>23811</xdr:rowOff>
    </xdr:from>
    <xdr:to>
      <xdr:col>19</xdr:col>
      <xdr:colOff>19049</xdr:colOff>
      <xdr:row>29</xdr:row>
      <xdr:rowOff>9524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1345468-E973-0A88-BFA5-6648ECF8CB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81324" y="404811"/>
              <a:ext cx="9172575" cy="5129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9524</xdr:colOff>
      <xdr:row>0</xdr:row>
      <xdr:rowOff>0</xdr:rowOff>
    </xdr:from>
    <xdr:to>
      <xdr:col>19</xdr:col>
      <xdr:colOff>19049</xdr:colOff>
      <xdr:row>25</xdr:row>
      <xdr:rowOff>19050</xdr:rowOff>
    </xdr:to>
    <xdr:graphicFrame macro="">
      <xdr:nvGraphicFramePr>
        <xdr:cNvPr id="2" name="Chart 1">
          <a:extLst>
            <a:ext uri="{FF2B5EF4-FFF2-40B4-BE49-F238E27FC236}">
              <a16:creationId xmlns:a16="http://schemas.microsoft.com/office/drawing/2014/main" id="{AFD2CFB9-F7A5-D0B6-3140-3DB129104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611187</xdr:colOff>
      <xdr:row>25</xdr:row>
      <xdr:rowOff>188118</xdr:rowOff>
    </xdr:from>
    <xdr:to>
      <xdr:col>15</xdr:col>
      <xdr:colOff>611186</xdr:colOff>
      <xdr:row>50</xdr:row>
      <xdr:rowOff>7938</xdr:rowOff>
    </xdr:to>
    <xdr:graphicFrame macro="">
      <xdr:nvGraphicFramePr>
        <xdr:cNvPr id="4" name="Chart 3">
          <a:extLst>
            <a:ext uri="{FF2B5EF4-FFF2-40B4-BE49-F238E27FC236}">
              <a16:creationId xmlns:a16="http://schemas.microsoft.com/office/drawing/2014/main" id="{054546AC-A74C-6B4A-0912-F9259FB4F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603249</xdr:colOff>
      <xdr:row>0</xdr:row>
      <xdr:rowOff>0</xdr:rowOff>
    </xdr:from>
    <xdr:to>
      <xdr:col>26</xdr:col>
      <xdr:colOff>0</xdr:colOff>
      <xdr:row>40</xdr:row>
      <xdr:rowOff>21166</xdr:rowOff>
    </xdr:to>
    <xdr:graphicFrame macro="">
      <xdr:nvGraphicFramePr>
        <xdr:cNvPr id="3" name="Chart 2">
          <a:extLst>
            <a:ext uri="{FF2B5EF4-FFF2-40B4-BE49-F238E27FC236}">
              <a16:creationId xmlns:a16="http://schemas.microsoft.com/office/drawing/2014/main" id="{10ECE108-3B02-4CB9-BBFC-A84BDD368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48713-E136-49D5-8832-F4688D64D9B8}">
  <dimension ref="A1:H32"/>
  <sheetViews>
    <sheetView zoomScale="110" zoomScaleNormal="110" workbookViewId="0">
      <selection activeCell="F2" sqref="F2"/>
    </sheetView>
  </sheetViews>
  <sheetFormatPr defaultRowHeight="15" x14ac:dyDescent="0.25"/>
  <cols>
    <col min="1" max="1" width="31" customWidth="1"/>
    <col min="2" max="5" width="10.7109375" bestFit="1" customWidth="1"/>
  </cols>
  <sheetData>
    <row r="1" spans="1:8" ht="17.25" x14ac:dyDescent="0.25">
      <c r="A1" s="1" t="s">
        <v>70</v>
      </c>
      <c r="B1" s="1"/>
      <c r="C1" s="2"/>
      <c r="D1" s="2"/>
      <c r="E1" s="2"/>
    </row>
    <row r="2" spans="1:8" x14ac:dyDescent="0.25">
      <c r="A2" s="3"/>
      <c r="B2" s="4">
        <v>2025</v>
      </c>
      <c r="C2" s="4">
        <v>2024</v>
      </c>
      <c r="D2" s="4">
        <v>2023</v>
      </c>
      <c r="E2" s="4">
        <v>2022</v>
      </c>
    </row>
    <row r="3" spans="1:8" x14ac:dyDescent="0.25">
      <c r="A3" s="5" t="s">
        <v>0</v>
      </c>
      <c r="B3" s="6">
        <v>5381.7612173913039</v>
      </c>
      <c r="C3" s="6">
        <v>5066.3286956521733</v>
      </c>
      <c r="D3" s="6">
        <v>4954.7015297391299</v>
      </c>
      <c r="E3" s="6">
        <v>4474.2257182608691</v>
      </c>
      <c r="H3" s="6"/>
    </row>
    <row r="4" spans="1:8" x14ac:dyDescent="0.25">
      <c r="A4" s="5" t="s">
        <v>1</v>
      </c>
      <c r="B4" s="7">
        <v>4029.7524173913048</v>
      </c>
      <c r="C4" s="7">
        <v>3790.8486956521742</v>
      </c>
      <c r="D4" s="7">
        <v>3848.5362617391311</v>
      </c>
      <c r="E4" s="7">
        <v>4455.367326260869</v>
      </c>
    </row>
    <row r="5" spans="1:8" x14ac:dyDescent="0.25">
      <c r="A5" s="5" t="s">
        <v>2</v>
      </c>
      <c r="B5" s="7">
        <v>3095.5956173913046</v>
      </c>
      <c r="C5" s="7">
        <v>2909.568695652174</v>
      </c>
      <c r="D5" s="7">
        <v>2952.0022337391306</v>
      </c>
      <c r="E5" s="7">
        <v>2930.4030862608702</v>
      </c>
      <c r="G5" s="7"/>
      <c r="H5" s="7"/>
    </row>
    <row r="6" spans="1:8" x14ac:dyDescent="0.25">
      <c r="A6" s="5" t="s">
        <v>3</v>
      </c>
      <c r="B6" s="7">
        <v>2491.1412173913045</v>
      </c>
      <c r="C6" s="7">
        <v>2339.3286956521738</v>
      </c>
      <c r="D6" s="7">
        <v>2394.6581137391308</v>
      </c>
      <c r="E6" s="7">
        <v>2432.3773142608698</v>
      </c>
    </row>
    <row r="7" spans="1:8" x14ac:dyDescent="0.25">
      <c r="A7" s="5" t="s">
        <v>4</v>
      </c>
      <c r="B7" s="7">
        <v>1838.6052173913044</v>
      </c>
      <c r="C7" s="7">
        <v>1723.7286956521739</v>
      </c>
      <c r="D7" s="7">
        <v>1719.7342537391303</v>
      </c>
      <c r="E7" s="7">
        <v>1664.5979422608693</v>
      </c>
    </row>
    <row r="8" spans="1:8" x14ac:dyDescent="0.25">
      <c r="A8" s="5" t="s">
        <v>5</v>
      </c>
      <c r="B8" s="7">
        <v>1142.5668173913043</v>
      </c>
      <c r="C8" s="7">
        <v>1067.0886956521738</v>
      </c>
      <c r="D8" s="7">
        <v>1066.1062657391303</v>
      </c>
      <c r="E8" s="7">
        <v>1009.4900582608695</v>
      </c>
    </row>
    <row r="9" spans="1:8" x14ac:dyDescent="0.25">
      <c r="A9" s="5" t="s">
        <v>6</v>
      </c>
      <c r="B9" s="7">
        <v>809.43001739130443</v>
      </c>
      <c r="C9" s="7">
        <v>752.80869565217392</v>
      </c>
      <c r="D9" s="7">
        <v>752.65764973913053</v>
      </c>
      <c r="E9" s="7">
        <v>724.00185826086954</v>
      </c>
    </row>
    <row r="10" spans="1:8" x14ac:dyDescent="0.25">
      <c r="A10" s="5" t="s">
        <v>7</v>
      </c>
      <c r="B10" s="7">
        <v>786.53401739130436</v>
      </c>
      <c r="C10" s="7">
        <v>731.2086956521739</v>
      </c>
      <c r="D10" s="7">
        <v>736.2420817391303</v>
      </c>
      <c r="E10" s="7">
        <v>710.16384626086949</v>
      </c>
      <c r="G10" s="7"/>
    </row>
    <row r="11" spans="1:8" x14ac:dyDescent="0.25">
      <c r="A11" s="5" t="s">
        <v>8</v>
      </c>
      <c r="B11" s="7">
        <v>706.39801739130439</v>
      </c>
      <c r="C11" s="7">
        <v>655.60869565217388</v>
      </c>
      <c r="D11" s="8">
        <v>701.64331373913035</v>
      </c>
      <c r="E11" s="7">
        <v>945.56796226086942</v>
      </c>
    </row>
    <row r="12" spans="1:8" x14ac:dyDescent="0.25">
      <c r="A12" s="5" t="s">
        <v>9</v>
      </c>
      <c r="B12" s="7">
        <v>628.55161739130426</v>
      </c>
      <c r="C12" s="7">
        <v>582.16869565217382</v>
      </c>
      <c r="D12" s="8">
        <v>594.05479373913045</v>
      </c>
      <c r="E12" s="7">
        <v>550.06950626086962</v>
      </c>
    </row>
    <row r="13" spans="1:8" x14ac:dyDescent="0.25">
      <c r="A13" s="5" t="s">
        <v>10</v>
      </c>
      <c r="B13" s="7">
        <v>555.28441739130426</v>
      </c>
      <c r="C13" s="7">
        <v>513.04869565217382</v>
      </c>
      <c r="D13" s="8">
        <v>521.18298173913047</v>
      </c>
      <c r="E13" s="7">
        <v>523.74447826086953</v>
      </c>
    </row>
    <row r="14" spans="1:8" x14ac:dyDescent="0.25">
      <c r="A14" s="5" t="s">
        <v>11</v>
      </c>
      <c r="B14" s="7">
        <v>542.69161739130425</v>
      </c>
      <c r="C14" s="7">
        <v>501.16869565217382</v>
      </c>
      <c r="D14" s="8">
        <v>512.19878573913047</v>
      </c>
      <c r="E14" s="7">
        <v>471.42</v>
      </c>
    </row>
    <row r="15" spans="1:8" x14ac:dyDescent="0.25">
      <c r="A15" s="5" t="s">
        <v>12</v>
      </c>
      <c r="B15" s="7">
        <v>530.09881739130435</v>
      </c>
      <c r="C15" s="7">
        <v>489.28869565217383</v>
      </c>
      <c r="D15" s="7">
        <v>489.45398173913048</v>
      </c>
      <c r="E15" s="7">
        <v>488.04399826086956</v>
      </c>
    </row>
    <row r="16" spans="1:8" x14ac:dyDescent="0.25">
      <c r="A16" s="5" t="s">
        <v>13</v>
      </c>
      <c r="B16" s="7">
        <v>495.7548173913043</v>
      </c>
      <c r="C16" s="7">
        <v>456.88869565217385</v>
      </c>
      <c r="D16" s="7">
        <v>456.84467773913047</v>
      </c>
      <c r="E16" s="7">
        <v>443.63745026086957</v>
      </c>
    </row>
    <row r="17" spans="1:5" x14ac:dyDescent="0.25">
      <c r="A17" s="5" t="s">
        <v>14</v>
      </c>
      <c r="B17" s="7">
        <v>457.97641739130432</v>
      </c>
      <c r="C17" s="7">
        <v>421.24869565217386</v>
      </c>
      <c r="D17" s="7">
        <v>421.79522173913045</v>
      </c>
      <c r="E17" s="7">
        <v>407.60635426086952</v>
      </c>
    </row>
    <row r="18" spans="1:5" x14ac:dyDescent="0.25">
      <c r="A18" s="5" t="s">
        <v>15</v>
      </c>
      <c r="B18" s="7">
        <v>373.26121739130434</v>
      </c>
      <c r="C18" s="7">
        <v>341.32869565217391</v>
      </c>
      <c r="D18" s="7">
        <v>341.60295373913044</v>
      </c>
      <c r="E18" s="7">
        <v>323.14833026086956</v>
      </c>
    </row>
    <row r="19" spans="1:5" x14ac:dyDescent="0.25">
      <c r="A19" s="5" t="s">
        <v>16</v>
      </c>
      <c r="B19" s="7">
        <v>364.10281739130431</v>
      </c>
      <c r="C19" s="7">
        <v>332.68869565217386</v>
      </c>
      <c r="D19" s="7">
        <v>333.61700173913044</v>
      </c>
      <c r="E19" s="7">
        <v>303.51714226086955</v>
      </c>
    </row>
    <row r="20" spans="1:5" x14ac:dyDescent="0.25">
      <c r="A20" s="5" t="s">
        <v>17</v>
      </c>
      <c r="B20" s="7">
        <v>267.9396173913043</v>
      </c>
      <c r="C20" s="7">
        <v>241.96869565217384</v>
      </c>
      <c r="D20" s="7">
        <v>249.98633773913042</v>
      </c>
      <c r="E20" s="7">
        <v>235.68215426086954</v>
      </c>
    </row>
    <row r="21" spans="1:5" x14ac:dyDescent="0.25">
      <c r="A21" s="5" t="s">
        <v>18</v>
      </c>
      <c r="B21" s="7">
        <v>245.04361739130428</v>
      </c>
      <c r="C21" s="7">
        <v>220.36869565217387</v>
      </c>
      <c r="D21" s="7">
        <v>219.48443773913044</v>
      </c>
      <c r="E21" s="7">
        <v>211.3652782608695</v>
      </c>
    </row>
    <row r="22" spans="1:5" x14ac:dyDescent="0.25">
      <c r="A22" s="5" t="s">
        <v>19</v>
      </c>
      <c r="B22" s="7">
        <v>238.17619999999999</v>
      </c>
      <c r="C22" s="7">
        <v>213.89</v>
      </c>
      <c r="D22" s="7">
        <v>215.04779773913043</v>
      </c>
      <c r="E22" s="7">
        <v>202.10139026086955</v>
      </c>
    </row>
    <row r="23" spans="1:5" x14ac:dyDescent="0.25">
      <c r="A23" s="5" t="s">
        <v>20</v>
      </c>
      <c r="B23" s="7">
        <v>212.98921739130429</v>
      </c>
      <c r="C23" s="7">
        <v>190.12869565217386</v>
      </c>
      <c r="D23" s="7">
        <v>191.53360573913045</v>
      </c>
      <c r="E23" s="7">
        <v>176.66887426086953</v>
      </c>
    </row>
    <row r="24" spans="1:5" x14ac:dyDescent="0.25">
      <c r="A24" s="5" t="s">
        <v>21</v>
      </c>
      <c r="B24" s="7">
        <v>207.2652173913043</v>
      </c>
      <c r="C24" s="7">
        <v>184.72869565217388</v>
      </c>
      <c r="D24" s="7">
        <v>185.98780573913047</v>
      </c>
      <c r="E24" s="7">
        <v>172.09067426086955</v>
      </c>
    </row>
    <row r="25" spans="1:5" x14ac:dyDescent="0.25">
      <c r="A25" s="5" t="s">
        <v>22</v>
      </c>
      <c r="B25" s="7">
        <v>200.4932</v>
      </c>
      <c r="C25" s="7">
        <v>178.33999999999997</v>
      </c>
      <c r="D25" s="7">
        <v>181.88391373913043</v>
      </c>
      <c r="E25" s="7">
        <v>167.07437026086956</v>
      </c>
    </row>
    <row r="26" spans="1:5" x14ac:dyDescent="0.25">
      <c r="A26" s="5"/>
      <c r="B26" s="5"/>
      <c r="C26" s="9"/>
      <c r="D26" s="3"/>
      <c r="E26" s="3"/>
    </row>
    <row r="27" spans="1:5" x14ac:dyDescent="0.25">
      <c r="A27" s="10" t="s">
        <v>69</v>
      </c>
      <c r="B27" s="11">
        <f>SUM(B3:B25)</f>
        <v>25601.413365217388</v>
      </c>
      <c r="C27" s="11">
        <f>SUM(C3:C25)</f>
        <v>23903.77260869565</v>
      </c>
      <c r="D27" s="11">
        <f>SUM(D3:D25)</f>
        <v>24040.955999999998</v>
      </c>
      <c r="E27" s="11">
        <f>SUM(E3:E25)</f>
        <v>24022.365113739124</v>
      </c>
    </row>
    <row r="30" spans="1:5" x14ac:dyDescent="0.25">
      <c r="A30" s="12">
        <v>46039</v>
      </c>
    </row>
    <row r="32" spans="1:5" x14ac:dyDescent="0.25">
      <c r="A32" s="13" t="str">
        <f>Semester</f>
        <v>2026 Spring</v>
      </c>
    </row>
  </sheetData>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displayEmptyCellsAs="gap" rightToLeft="1" xr2:uid="{C4982B85-191D-4A28-80E4-0FE31BF7EDCD}">
          <x14:colorSeries rgb="FF376092"/>
          <x14:colorNegative rgb="FFD00000"/>
          <x14:colorAxis rgb="FF000000"/>
          <x14:colorMarkers rgb="FFD00000"/>
          <x14:colorFirst rgb="FFD00000"/>
          <x14:colorLast rgb="FFD00000"/>
          <x14:colorHigh rgb="FFD00000"/>
          <x14:colorLow rgb="FFD00000"/>
          <x14:sparklines>
            <x14:sparkline>
              <xm:f>'Pie Of Pie'!A3:E3</xm:f>
              <xm:sqref>F3</xm:sqref>
            </x14:sparkline>
            <x14:sparkline>
              <xm:f>'Pie Of Pie'!A4:E4</xm:f>
              <xm:sqref>F4</xm:sqref>
            </x14:sparkline>
            <x14:sparkline>
              <xm:f>'Pie Of Pie'!A5:E5</xm:f>
              <xm:sqref>F5</xm:sqref>
            </x14:sparkline>
            <x14:sparkline>
              <xm:f>'Pie Of Pie'!A6:E6</xm:f>
              <xm:sqref>F6</xm:sqref>
            </x14:sparkline>
            <x14:sparkline>
              <xm:f>'Pie Of Pie'!A7:E7</xm:f>
              <xm:sqref>F7</xm:sqref>
            </x14:sparkline>
            <x14:sparkline>
              <xm:f>'Pie Of Pie'!A8:E8</xm:f>
              <xm:sqref>F8</xm:sqref>
            </x14:sparkline>
            <x14:sparkline>
              <xm:f>'Pie Of Pie'!A9:E9</xm:f>
              <xm:sqref>F9</xm:sqref>
            </x14:sparkline>
            <x14:sparkline>
              <xm:f>'Pie Of Pie'!A10:E10</xm:f>
              <xm:sqref>F10</xm:sqref>
            </x14:sparkline>
            <x14:sparkline>
              <xm:f>'Pie Of Pie'!A11:E11</xm:f>
              <xm:sqref>F11</xm:sqref>
            </x14:sparkline>
            <x14:sparkline>
              <xm:f>'Pie Of Pie'!A12:E12</xm:f>
              <xm:sqref>F12</xm:sqref>
            </x14:sparkline>
            <x14:sparkline>
              <xm:f>'Pie Of Pie'!A13:E13</xm:f>
              <xm:sqref>F13</xm:sqref>
            </x14:sparkline>
            <x14:sparkline>
              <xm:f>'Pie Of Pie'!A14:E14</xm:f>
              <xm:sqref>F14</xm:sqref>
            </x14:sparkline>
            <x14:sparkline>
              <xm:f>'Pie Of Pie'!A15:E15</xm:f>
              <xm:sqref>F15</xm:sqref>
            </x14:sparkline>
            <x14:sparkline>
              <xm:f>'Pie Of Pie'!A16:E16</xm:f>
              <xm:sqref>F16</xm:sqref>
            </x14:sparkline>
            <x14:sparkline>
              <xm:f>'Pie Of Pie'!A17:E17</xm:f>
              <xm:sqref>F17</xm:sqref>
            </x14:sparkline>
            <x14:sparkline>
              <xm:f>'Pie Of Pie'!A18:E18</xm:f>
              <xm:sqref>F18</xm:sqref>
            </x14:sparkline>
            <x14:sparkline>
              <xm:f>'Pie Of Pie'!A19:E19</xm:f>
              <xm:sqref>F19</xm:sqref>
            </x14:sparkline>
            <x14:sparkline>
              <xm:f>'Pie Of Pie'!A20:E20</xm:f>
              <xm:sqref>F20</xm:sqref>
            </x14:sparkline>
            <x14:sparkline>
              <xm:f>'Pie Of Pie'!A21:E21</xm:f>
              <xm:sqref>F21</xm:sqref>
            </x14:sparkline>
            <x14:sparkline>
              <xm:f>'Pie Of Pie'!A22:E22</xm:f>
              <xm:sqref>F22</xm:sqref>
            </x14:sparkline>
            <x14:sparkline>
              <xm:f>'Pie Of Pie'!A23:E23</xm:f>
              <xm:sqref>F23</xm:sqref>
            </x14:sparkline>
            <x14:sparkline>
              <xm:f>'Pie Of Pie'!A24:E24</xm:f>
              <xm:sqref>F24</xm:sqref>
            </x14:sparkline>
            <x14:sparkline>
              <xm:f>'Pie Of Pie'!A25:E25</xm:f>
              <xm:sqref>F25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DBCB-EDAB-406F-A482-5084BC3A7A45}">
  <dimension ref="A1:N13"/>
  <sheetViews>
    <sheetView workbookViewId="0">
      <selection activeCell="N10" sqref="N10"/>
    </sheetView>
  </sheetViews>
  <sheetFormatPr defaultColWidth="9.140625" defaultRowHeight="15" x14ac:dyDescent="0.25"/>
  <cols>
    <col min="1" max="1" width="15.42578125" style="16" customWidth="1"/>
    <col min="2" max="2" width="14.140625" style="16" bestFit="1" customWidth="1"/>
    <col min="3" max="7" width="10.85546875" style="16" bestFit="1" customWidth="1"/>
    <col min="8" max="13" width="15.7109375" style="16" customWidth="1"/>
    <col min="14" max="14" width="98.28515625" style="16" bestFit="1" customWidth="1"/>
    <col min="15" max="16384" width="9.140625" style="16"/>
  </cols>
  <sheetData>
    <row r="1" spans="1:14" ht="17.25" x14ac:dyDescent="0.25">
      <c r="A1" s="14" t="s">
        <v>24</v>
      </c>
      <c r="B1" s="15"/>
      <c r="C1" s="15"/>
      <c r="D1" s="15"/>
      <c r="E1" s="15">
        <v>1</v>
      </c>
      <c r="F1" s="15"/>
      <c r="G1" s="15"/>
      <c r="N1" t="s">
        <v>71</v>
      </c>
    </row>
    <row r="2" spans="1:14" ht="17.25" x14ac:dyDescent="0.25">
      <c r="A2" s="14"/>
      <c r="B2" s="15"/>
      <c r="C2" s="15"/>
      <c r="D2" s="15"/>
      <c r="E2" s="15"/>
      <c r="F2" s="15"/>
      <c r="G2" s="15"/>
    </row>
    <row r="3" spans="1:14" x14ac:dyDescent="0.25">
      <c r="B3" s="17"/>
      <c r="C3" s="17"/>
      <c r="D3" s="15"/>
      <c r="E3" s="15"/>
      <c r="F3" s="15"/>
      <c r="G3" s="15"/>
    </row>
    <row r="4" spans="1:14" x14ac:dyDescent="0.25">
      <c r="A4" s="18" t="s">
        <v>26</v>
      </c>
      <c r="B4" s="17" t="s">
        <v>25</v>
      </c>
      <c r="C4" s="19">
        <v>2025</v>
      </c>
      <c r="D4" s="19">
        <v>2024</v>
      </c>
      <c r="E4" s="19">
        <v>2023</v>
      </c>
      <c r="F4" s="19">
        <v>2022</v>
      </c>
      <c r="G4" s="19">
        <v>2021</v>
      </c>
      <c r="I4" s="19"/>
    </row>
    <row r="5" spans="1:14" x14ac:dyDescent="0.25">
      <c r="A5" s="20" t="s">
        <v>27</v>
      </c>
      <c r="B5" s="21">
        <v>0.19800000000000001</v>
      </c>
      <c r="C5" s="22">
        <v>0.32</v>
      </c>
      <c r="D5" s="22">
        <v>0.31</v>
      </c>
      <c r="E5" s="22">
        <v>0.27</v>
      </c>
      <c r="F5" s="22">
        <v>0.28000000000000003</v>
      </c>
      <c r="G5" s="22">
        <v>0.31</v>
      </c>
    </row>
    <row r="6" spans="1:14" x14ac:dyDescent="0.25">
      <c r="A6" s="20" t="s">
        <v>28</v>
      </c>
      <c r="B6" s="21">
        <v>5.7000000000000002E-2</v>
      </c>
      <c r="C6" s="22">
        <v>0.06</v>
      </c>
      <c r="D6" s="22">
        <v>0.06</v>
      </c>
      <c r="E6" s="22">
        <v>0.06</v>
      </c>
      <c r="F6" s="22">
        <v>0.06</v>
      </c>
      <c r="G6" s="22">
        <v>0.06</v>
      </c>
    </row>
    <row r="7" spans="1:14" x14ac:dyDescent="0.25">
      <c r="A7" s="20" t="s">
        <v>29</v>
      </c>
      <c r="B7" s="21">
        <v>9.7000000000000003E-2</v>
      </c>
      <c r="C7" s="22">
        <v>7.0000000000000007E-2</v>
      </c>
      <c r="D7" s="22">
        <v>0.09</v>
      </c>
      <c r="E7" s="22">
        <v>0.08</v>
      </c>
      <c r="F7" s="22">
        <v>0.09</v>
      </c>
      <c r="G7" s="22">
        <v>0.09</v>
      </c>
    </row>
    <row r="8" spans="1:14" x14ac:dyDescent="0.25">
      <c r="A8" s="20" t="s">
        <v>30</v>
      </c>
      <c r="B8" s="21">
        <v>0.13500000000000001</v>
      </c>
      <c r="C8" s="22">
        <v>0.11</v>
      </c>
      <c r="D8" s="22">
        <v>0.15</v>
      </c>
      <c r="E8" s="22">
        <v>0.12</v>
      </c>
      <c r="F8" s="22">
        <v>0.12</v>
      </c>
      <c r="G8" s="22">
        <v>0.12</v>
      </c>
    </row>
    <row r="9" spans="1:14" x14ac:dyDescent="0.25">
      <c r="A9" s="20" t="s">
        <v>31</v>
      </c>
      <c r="B9" s="21">
        <v>0.16200000000000001</v>
      </c>
      <c r="C9" s="22">
        <v>0.12</v>
      </c>
      <c r="D9" s="22">
        <v>0.14000000000000001</v>
      </c>
      <c r="E9" s="22">
        <v>0.15</v>
      </c>
      <c r="F9" s="22">
        <v>0.15</v>
      </c>
      <c r="G9" s="22">
        <v>0.15</v>
      </c>
    </row>
    <row r="10" spans="1:14" x14ac:dyDescent="0.25">
      <c r="A10" s="20" t="s">
        <v>32</v>
      </c>
      <c r="B10" s="21">
        <v>0.224</v>
      </c>
      <c r="C10" s="22">
        <v>0.22</v>
      </c>
      <c r="D10" s="22">
        <v>0.19</v>
      </c>
      <c r="E10" s="22">
        <v>0.23</v>
      </c>
      <c r="F10" s="22">
        <v>0.22</v>
      </c>
      <c r="G10" s="22">
        <v>0.2</v>
      </c>
    </row>
    <row r="11" spans="1:14" x14ac:dyDescent="0.25">
      <c r="A11" s="20" t="s">
        <v>33</v>
      </c>
      <c r="B11" s="21">
        <v>0.127</v>
      </c>
      <c r="C11" s="22">
        <v>0.1</v>
      </c>
      <c r="D11" s="22">
        <v>0.06</v>
      </c>
      <c r="E11" s="22">
        <v>0.09</v>
      </c>
      <c r="F11" s="22">
        <v>0.08</v>
      </c>
      <c r="G11" s="22">
        <v>7.0000000000000007E-2</v>
      </c>
    </row>
    <row r="12" spans="1:14" x14ac:dyDescent="0.25">
      <c r="A12" s="18" t="s">
        <v>34</v>
      </c>
      <c r="B12" s="23">
        <f t="shared" ref="B12:G12" si="0">SUM(B5:B11)</f>
        <v>1</v>
      </c>
      <c r="C12" s="23">
        <f t="shared" si="0"/>
        <v>1</v>
      </c>
      <c r="D12" s="23">
        <f t="shared" si="0"/>
        <v>1</v>
      </c>
      <c r="E12" s="23">
        <f t="shared" si="0"/>
        <v>1</v>
      </c>
      <c r="F12" s="23">
        <f t="shared" si="0"/>
        <v>1</v>
      </c>
      <c r="G12" s="23">
        <f t="shared" si="0"/>
        <v>1</v>
      </c>
    </row>
    <row r="13" spans="1:14" x14ac:dyDescent="0.25">
      <c r="A13" s="18"/>
      <c r="B13" s="23"/>
      <c r="C13" s="23"/>
      <c r="D13" s="23"/>
      <c r="E13" s="23"/>
      <c r="F13" s="23"/>
      <c r="G1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1EC5-9363-4BCB-AA55-8B71F0C17FA3}">
  <dimension ref="A1:N13"/>
  <sheetViews>
    <sheetView tabSelected="1" workbookViewId="0">
      <selection activeCell="B19" sqref="B19"/>
    </sheetView>
  </sheetViews>
  <sheetFormatPr defaultRowHeight="15" x14ac:dyDescent="0.25"/>
  <cols>
    <col min="1" max="1" width="14.5703125" customWidth="1"/>
    <col min="2" max="2" width="14.85546875" customWidth="1"/>
    <col min="3" max="7" width="10.85546875" bestFit="1" customWidth="1"/>
    <col min="9" max="13" width="15.7109375" customWidth="1"/>
    <col min="14" max="14" width="80.28515625" bestFit="1" customWidth="1"/>
    <col min="15" max="17" width="15.7109375" customWidth="1"/>
  </cols>
  <sheetData>
    <row r="1" spans="1:14" ht="17.25" x14ac:dyDescent="0.25">
      <c r="A1" s="14" t="s">
        <v>35</v>
      </c>
      <c r="B1" s="15"/>
      <c r="C1" s="15"/>
      <c r="D1" s="15"/>
      <c r="E1" s="15"/>
      <c r="F1" s="15"/>
      <c r="G1" s="15"/>
      <c r="N1" t="s">
        <v>72</v>
      </c>
    </row>
    <row r="2" spans="1:14" ht="17.25" x14ac:dyDescent="0.25">
      <c r="A2" s="14"/>
      <c r="B2" s="15"/>
      <c r="C2" s="15"/>
      <c r="D2" s="15"/>
      <c r="E2" s="15"/>
      <c r="F2" s="15"/>
      <c r="G2" s="15"/>
    </row>
    <row r="3" spans="1:14" x14ac:dyDescent="0.25">
      <c r="A3" s="15"/>
      <c r="B3" s="17"/>
      <c r="C3" s="17"/>
      <c r="D3" s="15"/>
      <c r="E3" s="15"/>
      <c r="F3" s="15"/>
      <c r="G3" s="15"/>
    </row>
    <row r="4" spans="1:14" ht="22.5" x14ac:dyDescent="0.25">
      <c r="A4" s="18" t="s">
        <v>26</v>
      </c>
      <c r="B4" s="47" t="s">
        <v>25</v>
      </c>
      <c r="C4" s="19">
        <v>2025</v>
      </c>
      <c r="D4" s="19">
        <v>2024</v>
      </c>
      <c r="E4" s="19">
        <v>2023</v>
      </c>
      <c r="F4" s="19">
        <v>2022</v>
      </c>
      <c r="G4" s="19">
        <v>2021</v>
      </c>
    </row>
    <row r="5" spans="1:14" x14ac:dyDescent="0.25">
      <c r="A5" s="20" t="s">
        <v>27</v>
      </c>
      <c r="B5" s="21">
        <v>0.19800000000000001</v>
      </c>
      <c r="C5" s="22">
        <v>0.15</v>
      </c>
      <c r="D5" s="22">
        <v>0.17</v>
      </c>
      <c r="E5" s="22">
        <v>0.16</v>
      </c>
      <c r="F5" s="22">
        <v>0.17</v>
      </c>
      <c r="G5" s="22">
        <v>0.17</v>
      </c>
    </row>
    <row r="6" spans="1:14" x14ac:dyDescent="0.25">
      <c r="A6" s="20" t="s">
        <v>28</v>
      </c>
      <c r="B6" s="21">
        <v>5.7000000000000002E-2</v>
      </c>
      <c r="C6" s="22">
        <v>0.1</v>
      </c>
      <c r="D6" s="22">
        <v>0.11</v>
      </c>
      <c r="E6" s="22">
        <v>0.11</v>
      </c>
      <c r="F6" s="22">
        <v>0.11</v>
      </c>
      <c r="G6" s="22">
        <v>0.1</v>
      </c>
    </row>
    <row r="7" spans="1:14" x14ac:dyDescent="0.25">
      <c r="A7" s="20" t="s">
        <v>29</v>
      </c>
      <c r="B7" s="21">
        <v>9.7000000000000003E-2</v>
      </c>
      <c r="C7" s="22">
        <v>0.11</v>
      </c>
      <c r="D7" s="22">
        <v>0.09</v>
      </c>
      <c r="E7" s="22">
        <v>0.09</v>
      </c>
      <c r="F7" s="22">
        <v>0.1</v>
      </c>
      <c r="G7" s="22">
        <v>0.1</v>
      </c>
    </row>
    <row r="8" spans="1:14" x14ac:dyDescent="0.25">
      <c r="A8" s="20" t="s">
        <v>30</v>
      </c>
      <c r="B8" s="21">
        <v>0.13500000000000001</v>
      </c>
      <c r="C8" s="22">
        <v>0.2</v>
      </c>
      <c r="D8" s="22">
        <v>0.22</v>
      </c>
      <c r="E8" s="22">
        <v>0.19</v>
      </c>
      <c r="F8" s="22">
        <v>0.2</v>
      </c>
      <c r="G8" s="22">
        <v>0.2</v>
      </c>
    </row>
    <row r="9" spans="1:14" x14ac:dyDescent="0.25">
      <c r="A9" s="20" t="s">
        <v>31</v>
      </c>
      <c r="B9" s="21">
        <v>0.16200000000000001</v>
      </c>
      <c r="C9" s="22">
        <v>0.19</v>
      </c>
      <c r="D9" s="22">
        <v>0.21</v>
      </c>
      <c r="E9" s="22">
        <v>0.2</v>
      </c>
      <c r="F9" s="22">
        <v>0.19</v>
      </c>
      <c r="G9" s="22">
        <v>0.18</v>
      </c>
    </row>
    <row r="10" spans="1:14" x14ac:dyDescent="0.25">
      <c r="A10" s="20" t="s">
        <v>32</v>
      </c>
      <c r="B10" s="21">
        <v>0.224</v>
      </c>
      <c r="C10" s="22">
        <v>0.19</v>
      </c>
      <c r="D10" s="22">
        <v>0.16</v>
      </c>
      <c r="E10" s="22">
        <v>0.22</v>
      </c>
      <c r="F10" s="22">
        <v>0.2</v>
      </c>
      <c r="G10" s="22">
        <v>0.21</v>
      </c>
    </row>
    <row r="11" spans="1:14" x14ac:dyDescent="0.25">
      <c r="A11" s="20" t="s">
        <v>33</v>
      </c>
      <c r="B11" s="21">
        <v>0.127</v>
      </c>
      <c r="C11" s="22">
        <v>0.06</v>
      </c>
      <c r="D11" s="22">
        <v>0.04</v>
      </c>
      <c r="E11" s="22">
        <v>0.03</v>
      </c>
      <c r="F11" s="22">
        <v>0.03</v>
      </c>
      <c r="G11" s="22">
        <v>0.04</v>
      </c>
    </row>
    <row r="12" spans="1:14" x14ac:dyDescent="0.25">
      <c r="A12" s="18" t="s">
        <v>34</v>
      </c>
      <c r="B12" s="23">
        <f t="shared" ref="B12:G12" si="0">SUM(B5:B11)</f>
        <v>1</v>
      </c>
      <c r="C12" s="23">
        <f t="shared" si="0"/>
        <v>1</v>
      </c>
      <c r="D12" s="23">
        <f t="shared" si="0"/>
        <v>1</v>
      </c>
      <c r="E12" s="23">
        <f t="shared" si="0"/>
        <v>1</v>
      </c>
      <c r="F12" s="23">
        <f t="shared" si="0"/>
        <v>1</v>
      </c>
      <c r="G12" s="23">
        <f t="shared" si="0"/>
        <v>1</v>
      </c>
    </row>
    <row r="13" spans="1:14" x14ac:dyDescent="0.25">
      <c r="A13" s="18"/>
      <c r="B13" s="23"/>
      <c r="C13" s="23"/>
      <c r="D13" s="23"/>
      <c r="E13" s="23"/>
      <c r="F13" s="23"/>
      <c r="G13"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F98F4-D50A-46A7-AFBD-96ACBD0ED8BE}">
  <dimension ref="A1:O44"/>
  <sheetViews>
    <sheetView topLeftCell="A8" workbookViewId="0">
      <selection activeCell="E1" sqref="E1:O1"/>
    </sheetView>
  </sheetViews>
  <sheetFormatPr defaultRowHeight="15" x14ac:dyDescent="0.25"/>
  <cols>
    <col min="1" max="1" width="9.42578125" style="28" bestFit="1" customWidth="1"/>
    <col min="2" max="2" width="18.28515625" style="30" bestFit="1" customWidth="1"/>
    <col min="3" max="3" width="8" style="42" bestFit="1" customWidth="1"/>
    <col min="7" max="7" width="9.140625" bestFit="1" customWidth="1"/>
    <col min="15" max="15" width="34.42578125" customWidth="1"/>
  </cols>
  <sheetData>
    <row r="1" spans="1:15" x14ac:dyDescent="0.25">
      <c r="A1" s="24" t="s">
        <v>36</v>
      </c>
      <c r="B1" s="25" t="s">
        <v>37</v>
      </c>
      <c r="C1" s="39" t="s">
        <v>38</v>
      </c>
      <c r="E1" s="43" t="s">
        <v>73</v>
      </c>
      <c r="F1" s="43"/>
      <c r="G1" s="43"/>
      <c r="H1" s="43"/>
      <c r="I1" s="43"/>
      <c r="J1" s="43"/>
      <c r="K1" s="43"/>
      <c r="L1" s="43"/>
      <c r="M1" s="43"/>
      <c r="N1" s="43"/>
      <c r="O1" s="43"/>
    </row>
    <row r="2" spans="1:15" x14ac:dyDescent="0.25">
      <c r="A2" s="26">
        <v>46023</v>
      </c>
      <c r="B2" s="27" t="s">
        <v>39</v>
      </c>
      <c r="C2" s="40">
        <v>1500</v>
      </c>
      <c r="E2" s="44" t="s">
        <v>74</v>
      </c>
      <c r="F2" s="45"/>
      <c r="G2" s="45"/>
      <c r="H2" s="45"/>
      <c r="I2" s="45"/>
      <c r="J2" s="45"/>
      <c r="K2" s="45"/>
      <c r="L2" s="45"/>
      <c r="M2" s="45"/>
      <c r="N2" s="45"/>
      <c r="O2" s="46"/>
    </row>
    <row r="3" spans="1:15" x14ac:dyDescent="0.25">
      <c r="A3" s="26">
        <v>46024</v>
      </c>
      <c r="B3" s="27" t="s">
        <v>40</v>
      </c>
      <c r="C3" s="40">
        <v>-150</v>
      </c>
    </row>
    <row r="4" spans="1:15" x14ac:dyDescent="0.25">
      <c r="A4" s="26">
        <v>46024</v>
      </c>
      <c r="B4" s="27" t="s">
        <v>41</v>
      </c>
      <c r="C4" s="40">
        <v>-5</v>
      </c>
    </row>
    <row r="5" spans="1:15" x14ac:dyDescent="0.25">
      <c r="A5" s="26">
        <v>46025</v>
      </c>
      <c r="B5" s="27" t="s">
        <v>42</v>
      </c>
      <c r="C5" s="40">
        <v>-30</v>
      </c>
    </row>
    <row r="6" spans="1:15" x14ac:dyDescent="0.25">
      <c r="A6" s="26">
        <v>46026</v>
      </c>
      <c r="B6" s="27" t="s">
        <v>43</v>
      </c>
      <c r="C6" s="40">
        <v>-75</v>
      </c>
    </row>
    <row r="7" spans="1:15" x14ac:dyDescent="0.25">
      <c r="A7" s="26">
        <v>46027</v>
      </c>
      <c r="B7" s="27" t="s">
        <v>44</v>
      </c>
      <c r="C7" s="40">
        <v>-75</v>
      </c>
    </row>
    <row r="8" spans="1:15" x14ac:dyDescent="0.25">
      <c r="A8" s="26">
        <v>46027</v>
      </c>
      <c r="B8" s="27" t="s">
        <v>41</v>
      </c>
      <c r="C8" s="40">
        <v>-5</v>
      </c>
    </row>
    <row r="9" spans="1:15" x14ac:dyDescent="0.25">
      <c r="A9" s="26">
        <v>46028</v>
      </c>
      <c r="B9" s="27" t="s">
        <v>45</v>
      </c>
      <c r="C9" s="40">
        <v>-700</v>
      </c>
    </row>
    <row r="10" spans="1:15" x14ac:dyDescent="0.25">
      <c r="A10" s="26">
        <v>46029</v>
      </c>
      <c r="B10" s="27" t="s">
        <v>46</v>
      </c>
      <c r="C10" s="40">
        <v>-25</v>
      </c>
    </row>
    <row r="11" spans="1:15" x14ac:dyDescent="0.25">
      <c r="A11" s="26">
        <v>46030</v>
      </c>
      <c r="B11" s="27" t="s">
        <v>47</v>
      </c>
      <c r="C11" s="40">
        <v>-25</v>
      </c>
      <c r="J11" s="28"/>
    </row>
    <row r="12" spans="1:15" x14ac:dyDescent="0.25">
      <c r="A12" s="26">
        <v>46031</v>
      </c>
      <c r="B12" s="27" t="s">
        <v>41</v>
      </c>
      <c r="C12" s="40">
        <v>-5</v>
      </c>
    </row>
    <row r="13" spans="1:15" x14ac:dyDescent="0.25">
      <c r="A13" s="26">
        <v>46031</v>
      </c>
      <c r="B13" s="27" t="s">
        <v>48</v>
      </c>
      <c r="C13" s="40">
        <v>-75</v>
      </c>
      <c r="G13" s="28"/>
    </row>
    <row r="14" spans="1:15" x14ac:dyDescent="0.25">
      <c r="A14" s="26">
        <v>46032</v>
      </c>
      <c r="B14" s="27" t="s">
        <v>41</v>
      </c>
      <c r="C14" s="40">
        <v>-5</v>
      </c>
    </row>
    <row r="15" spans="1:15" x14ac:dyDescent="0.25">
      <c r="A15" s="26">
        <v>46033</v>
      </c>
      <c r="B15" s="27" t="s">
        <v>41</v>
      </c>
      <c r="C15" s="40">
        <v>-5</v>
      </c>
    </row>
    <row r="16" spans="1:15" x14ac:dyDescent="0.25">
      <c r="A16" s="26">
        <v>46033</v>
      </c>
      <c r="B16" s="27" t="s">
        <v>43</v>
      </c>
      <c r="C16" s="40">
        <v>-75</v>
      </c>
    </row>
    <row r="17" spans="1:3" x14ac:dyDescent="0.25">
      <c r="A17" s="26">
        <v>46034</v>
      </c>
      <c r="B17" s="27" t="s">
        <v>47</v>
      </c>
      <c r="C17" s="40">
        <v>-25</v>
      </c>
    </row>
    <row r="18" spans="1:3" x14ac:dyDescent="0.25">
      <c r="A18" s="26">
        <v>46035</v>
      </c>
      <c r="B18" s="27" t="s">
        <v>49</v>
      </c>
      <c r="C18" s="40">
        <v>-300</v>
      </c>
    </row>
    <row r="19" spans="1:3" x14ac:dyDescent="0.25">
      <c r="A19" s="26">
        <v>46035</v>
      </c>
      <c r="B19" s="27" t="s">
        <v>41</v>
      </c>
      <c r="C19" s="40">
        <v>-5</v>
      </c>
    </row>
    <row r="20" spans="1:3" x14ac:dyDescent="0.25">
      <c r="A20" s="26">
        <v>46036</v>
      </c>
      <c r="B20" s="27" t="s">
        <v>39</v>
      </c>
      <c r="C20" s="40">
        <v>1500</v>
      </c>
    </row>
    <row r="21" spans="1:3" x14ac:dyDescent="0.25">
      <c r="A21" s="26">
        <v>46037</v>
      </c>
      <c r="B21" s="27" t="s">
        <v>47</v>
      </c>
      <c r="C21" s="40">
        <v>-25</v>
      </c>
    </row>
    <row r="22" spans="1:3" x14ac:dyDescent="0.25">
      <c r="A22" s="26">
        <v>46038</v>
      </c>
      <c r="B22" s="27" t="s">
        <v>43</v>
      </c>
      <c r="C22" s="40">
        <v>-75</v>
      </c>
    </row>
    <row r="23" spans="1:3" x14ac:dyDescent="0.25">
      <c r="A23" s="26">
        <v>46039</v>
      </c>
      <c r="B23" s="27" t="s">
        <v>42</v>
      </c>
      <c r="C23" s="40">
        <v>-30</v>
      </c>
    </row>
    <row r="24" spans="1:3" x14ac:dyDescent="0.25">
      <c r="A24" s="26">
        <v>46039</v>
      </c>
      <c r="B24" s="27" t="s">
        <v>41</v>
      </c>
      <c r="C24" s="40">
        <v>-5</v>
      </c>
    </row>
    <row r="25" spans="1:3" x14ac:dyDescent="0.25">
      <c r="A25" s="26">
        <v>46040</v>
      </c>
      <c r="B25" s="27" t="s">
        <v>50</v>
      </c>
      <c r="C25" s="40">
        <v>-100</v>
      </c>
    </row>
    <row r="26" spans="1:3" x14ac:dyDescent="0.25">
      <c r="A26" s="26">
        <v>46041</v>
      </c>
      <c r="B26" s="27" t="s">
        <v>51</v>
      </c>
      <c r="C26" s="40">
        <v>-25</v>
      </c>
    </row>
    <row r="27" spans="1:3" x14ac:dyDescent="0.25">
      <c r="A27" s="26">
        <v>46042</v>
      </c>
      <c r="B27" s="27" t="s">
        <v>52</v>
      </c>
      <c r="C27" s="40">
        <v>-50</v>
      </c>
    </row>
    <row r="28" spans="1:3" x14ac:dyDescent="0.25">
      <c r="A28" s="26">
        <v>46033</v>
      </c>
      <c r="B28" s="27" t="s">
        <v>41</v>
      </c>
      <c r="C28" s="40">
        <v>-5</v>
      </c>
    </row>
    <row r="29" spans="1:3" x14ac:dyDescent="0.25">
      <c r="A29" s="26">
        <v>46043</v>
      </c>
      <c r="B29" s="27" t="s">
        <v>43</v>
      </c>
      <c r="C29" s="40">
        <v>-75</v>
      </c>
    </row>
    <row r="30" spans="1:3" x14ac:dyDescent="0.25">
      <c r="A30" s="26">
        <v>46044</v>
      </c>
      <c r="B30" s="27" t="s">
        <v>47</v>
      </c>
      <c r="C30" s="40">
        <v>-25</v>
      </c>
    </row>
    <row r="31" spans="1:3" x14ac:dyDescent="0.25">
      <c r="A31" s="26">
        <v>46045</v>
      </c>
      <c r="B31" s="27" t="s">
        <v>53</v>
      </c>
      <c r="C31" s="40">
        <v>-250</v>
      </c>
    </row>
    <row r="32" spans="1:3" x14ac:dyDescent="0.25">
      <c r="A32" s="26">
        <v>46046</v>
      </c>
      <c r="B32" s="27" t="s">
        <v>54</v>
      </c>
      <c r="C32" s="40">
        <v>-25</v>
      </c>
    </row>
    <row r="33" spans="1:3" x14ac:dyDescent="0.25">
      <c r="A33" s="26">
        <v>46046</v>
      </c>
      <c r="B33" s="27" t="s">
        <v>41</v>
      </c>
      <c r="C33" s="40">
        <v>-5</v>
      </c>
    </row>
    <row r="34" spans="1:3" x14ac:dyDescent="0.25">
      <c r="A34" s="26">
        <v>46047</v>
      </c>
      <c r="B34" s="27" t="s">
        <v>55</v>
      </c>
      <c r="C34" s="40">
        <v>-75</v>
      </c>
    </row>
    <row r="35" spans="1:3" x14ac:dyDescent="0.25">
      <c r="A35" s="26">
        <v>46048</v>
      </c>
      <c r="B35" s="27" t="s">
        <v>56</v>
      </c>
      <c r="C35" s="40">
        <v>-140</v>
      </c>
    </row>
    <row r="36" spans="1:3" x14ac:dyDescent="0.25">
      <c r="A36" s="26">
        <v>46049</v>
      </c>
      <c r="B36" s="27" t="s">
        <v>57</v>
      </c>
      <c r="C36" s="40">
        <v>-120</v>
      </c>
    </row>
    <row r="37" spans="1:3" x14ac:dyDescent="0.25">
      <c r="A37" s="26">
        <v>46049</v>
      </c>
      <c r="B37" s="27" t="s">
        <v>41</v>
      </c>
      <c r="C37" s="40">
        <v>-5</v>
      </c>
    </row>
    <row r="38" spans="1:3" x14ac:dyDescent="0.25">
      <c r="A38" s="26">
        <v>46050</v>
      </c>
      <c r="B38" s="27" t="s">
        <v>48</v>
      </c>
      <c r="C38" s="40">
        <v>-100</v>
      </c>
    </row>
    <row r="39" spans="1:3" x14ac:dyDescent="0.25">
      <c r="A39" s="26">
        <v>46051</v>
      </c>
      <c r="B39" s="27" t="s">
        <v>58</v>
      </c>
      <c r="C39" s="40">
        <v>-50</v>
      </c>
    </row>
    <row r="40" spans="1:3" x14ac:dyDescent="0.25">
      <c r="A40" s="26">
        <v>46051</v>
      </c>
      <c r="B40" s="27" t="s">
        <v>41</v>
      </c>
      <c r="C40" s="40">
        <v>-5</v>
      </c>
    </row>
    <row r="41" spans="1:3" ht="30" x14ac:dyDescent="0.25">
      <c r="A41" s="26">
        <v>46051</v>
      </c>
      <c r="B41" s="27" t="s">
        <v>59</v>
      </c>
      <c r="C41" s="40">
        <v>-25</v>
      </c>
    </row>
    <row r="42" spans="1:3" ht="30" x14ac:dyDescent="0.25">
      <c r="A42" s="26">
        <v>46052</v>
      </c>
      <c r="B42" s="27" t="s">
        <v>60</v>
      </c>
      <c r="C42" s="40">
        <v>-50</v>
      </c>
    </row>
    <row r="43" spans="1:3" x14ac:dyDescent="0.25">
      <c r="A43" s="26">
        <v>46052</v>
      </c>
      <c r="B43" s="27" t="s">
        <v>47</v>
      </c>
      <c r="C43" s="40">
        <v>-25</v>
      </c>
    </row>
    <row r="44" spans="1:3" x14ac:dyDescent="0.25">
      <c r="A44"/>
      <c r="B44" s="29" t="s">
        <v>34</v>
      </c>
      <c r="C44" s="41">
        <f>SUM(C3:C43)</f>
        <v>-1375</v>
      </c>
    </row>
  </sheetData>
  <mergeCells count="2">
    <mergeCell ref="E1:O1"/>
    <mergeCell ref="E2:O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D1E36-84E8-4459-A39A-013C6EF40CAA}">
  <dimension ref="A1:Q254"/>
  <sheetViews>
    <sheetView topLeftCell="B1" zoomScaleNormal="100" workbookViewId="0">
      <selection activeCell="R54" sqref="R54"/>
    </sheetView>
  </sheetViews>
  <sheetFormatPr defaultRowHeight="15" x14ac:dyDescent="0.25"/>
  <cols>
    <col min="1" max="1" width="11.5703125" style="15" customWidth="1"/>
    <col min="2" max="2" width="11" style="32" customWidth="1"/>
    <col min="3" max="5" width="8.7109375" style="32" bestFit="1" customWidth="1"/>
    <col min="6" max="6" width="13.5703125" bestFit="1" customWidth="1"/>
  </cols>
  <sheetData>
    <row r="1" spans="1:6" x14ac:dyDescent="0.25">
      <c r="A1" s="31" t="s">
        <v>23</v>
      </c>
    </row>
    <row r="2" spans="1:6" x14ac:dyDescent="0.25">
      <c r="A2" s="33" t="s">
        <v>61</v>
      </c>
      <c r="B2" s="15"/>
    </row>
    <row r="3" spans="1:6" x14ac:dyDescent="0.25">
      <c r="A3" t="s">
        <v>36</v>
      </c>
      <c r="B3" t="s">
        <v>62</v>
      </c>
      <c r="C3" t="s">
        <v>63</v>
      </c>
      <c r="D3" t="s">
        <v>64</v>
      </c>
      <c r="E3" t="s">
        <v>65</v>
      </c>
      <c r="F3" s="34" t="s">
        <v>66</v>
      </c>
    </row>
    <row r="4" spans="1:6" x14ac:dyDescent="0.25">
      <c r="A4" s="28">
        <v>46032</v>
      </c>
      <c r="B4" s="35">
        <v>6547.08</v>
      </c>
      <c r="C4" s="35">
        <v>6555.97</v>
      </c>
      <c r="D4" s="35">
        <v>6533.4</v>
      </c>
      <c r="E4" s="35">
        <v>6539.42</v>
      </c>
      <c r="F4" s="36">
        <v>2609781000</v>
      </c>
    </row>
    <row r="5" spans="1:6" x14ac:dyDescent="0.25">
      <c r="A5" s="28">
        <v>46031</v>
      </c>
      <c r="B5" s="35">
        <v>6503.33</v>
      </c>
      <c r="C5" s="35">
        <v>6518.23</v>
      </c>
      <c r="D5" s="35">
        <v>6483.08</v>
      </c>
      <c r="E5" s="35">
        <v>6512.61</v>
      </c>
      <c r="F5" s="36">
        <v>2869626000</v>
      </c>
    </row>
    <row r="6" spans="1:6" x14ac:dyDescent="0.25">
      <c r="A6" s="28">
        <v>46030</v>
      </c>
      <c r="B6" s="35">
        <v>6498.09</v>
      </c>
      <c r="C6" s="35">
        <v>6508.67</v>
      </c>
      <c r="D6" s="35">
        <v>6483.29</v>
      </c>
      <c r="E6" s="35">
        <v>6495.15</v>
      </c>
      <c r="F6" s="36">
        <v>3122334000</v>
      </c>
    </row>
    <row r="7" spans="1:6" x14ac:dyDescent="0.25">
      <c r="A7" s="28">
        <v>46027</v>
      </c>
      <c r="B7" s="35">
        <v>6529.08</v>
      </c>
      <c r="C7" s="35">
        <v>6532.65</v>
      </c>
      <c r="D7" s="35">
        <v>6443.98</v>
      </c>
      <c r="E7" s="35">
        <v>6481.5</v>
      </c>
      <c r="F7" s="36">
        <v>2665523000</v>
      </c>
    </row>
    <row r="8" spans="1:6" x14ac:dyDescent="0.25">
      <c r="A8" s="28">
        <v>46026</v>
      </c>
      <c r="B8" s="35">
        <v>6456.6</v>
      </c>
      <c r="C8" s="35">
        <v>6502.54</v>
      </c>
      <c r="D8" s="35">
        <v>6445.98</v>
      </c>
      <c r="E8" s="35">
        <v>6502.08</v>
      </c>
      <c r="F8" s="36">
        <v>2723954000</v>
      </c>
    </row>
    <row r="9" spans="1:6" x14ac:dyDescent="0.25">
      <c r="A9" s="28">
        <v>46025</v>
      </c>
      <c r="B9" s="35">
        <v>6445.82</v>
      </c>
      <c r="C9" s="35">
        <v>6453.67</v>
      </c>
      <c r="D9" s="35">
        <v>6416.17</v>
      </c>
      <c r="E9" s="35">
        <v>6448.26</v>
      </c>
      <c r="F9" s="36">
        <v>2784376000</v>
      </c>
    </row>
    <row r="10" spans="1:6" x14ac:dyDescent="0.25">
      <c r="A10" s="28">
        <v>46024</v>
      </c>
      <c r="B10" s="35">
        <v>6401.51</v>
      </c>
      <c r="C10" s="35">
        <v>6416.54</v>
      </c>
      <c r="D10" s="35">
        <v>6360.58</v>
      </c>
      <c r="E10" s="35">
        <v>6415.54</v>
      </c>
      <c r="F10" s="36">
        <v>2479117000</v>
      </c>
    </row>
    <row r="11" spans="1:6" x14ac:dyDescent="0.25">
      <c r="A11" s="28">
        <v>46020</v>
      </c>
      <c r="B11" s="35">
        <v>6489.28</v>
      </c>
      <c r="C11" s="35">
        <v>6491.76</v>
      </c>
      <c r="D11" s="35">
        <v>6444.57</v>
      </c>
      <c r="E11" s="35">
        <v>6460.26</v>
      </c>
      <c r="F11" s="36">
        <v>2547594000</v>
      </c>
    </row>
    <row r="12" spans="1:6" x14ac:dyDescent="0.25">
      <c r="A12" s="28">
        <v>46019</v>
      </c>
      <c r="B12" s="35">
        <v>6483.84</v>
      </c>
      <c r="C12" s="35">
        <v>6508.23</v>
      </c>
      <c r="D12" s="35">
        <v>6466.96</v>
      </c>
      <c r="E12" s="35">
        <v>6501.86</v>
      </c>
      <c r="F12" s="36">
        <v>2744067000</v>
      </c>
    </row>
    <row r="13" spans="1:6" x14ac:dyDescent="0.25">
      <c r="A13" s="28">
        <v>46018</v>
      </c>
      <c r="B13" s="35">
        <v>6462.26</v>
      </c>
      <c r="C13" s="35">
        <v>6487.06</v>
      </c>
      <c r="D13" s="35">
        <v>6457.84</v>
      </c>
      <c r="E13" s="35">
        <v>6481.4</v>
      </c>
      <c r="F13" s="36">
        <v>3013485000</v>
      </c>
    </row>
    <row r="14" spans="1:6" x14ac:dyDescent="0.25">
      <c r="A14" s="28">
        <v>46017</v>
      </c>
      <c r="B14" s="35">
        <v>6435.49</v>
      </c>
      <c r="C14" s="35">
        <v>6468.37</v>
      </c>
      <c r="D14" s="35">
        <v>6429.21</v>
      </c>
      <c r="E14" s="35">
        <v>6465.94</v>
      </c>
      <c r="F14" s="36">
        <v>2459655000</v>
      </c>
    </row>
    <row r="15" spans="1:6" x14ac:dyDescent="0.25">
      <c r="A15" s="28">
        <v>46016</v>
      </c>
      <c r="B15" s="35">
        <v>6457.67</v>
      </c>
      <c r="C15" s="35">
        <v>6466.89</v>
      </c>
      <c r="D15" s="35">
        <v>6438.06</v>
      </c>
      <c r="E15" s="35">
        <v>6439.32</v>
      </c>
      <c r="F15" s="36">
        <v>2979824000</v>
      </c>
    </row>
    <row r="16" spans="1:6" x14ac:dyDescent="0.25">
      <c r="A16" s="28">
        <v>46013</v>
      </c>
      <c r="B16" s="35">
        <v>6384.59</v>
      </c>
      <c r="C16" s="35">
        <v>6478.89</v>
      </c>
      <c r="D16" s="35">
        <v>6384.59</v>
      </c>
      <c r="E16" s="35">
        <v>6466.91</v>
      </c>
      <c r="F16" s="36">
        <v>2328552000</v>
      </c>
    </row>
    <row r="17" spans="1:6" x14ac:dyDescent="0.25">
      <c r="A17" s="28">
        <v>46012</v>
      </c>
      <c r="B17" s="35">
        <v>6380.83</v>
      </c>
      <c r="C17" s="35">
        <v>6393.65</v>
      </c>
      <c r="D17" s="35">
        <v>6352.71</v>
      </c>
      <c r="E17" s="35">
        <v>6370.17</v>
      </c>
      <c r="F17" s="36">
        <v>2984550000</v>
      </c>
    </row>
    <row r="18" spans="1:6" x14ac:dyDescent="0.25">
      <c r="A18" s="28">
        <v>46011</v>
      </c>
      <c r="B18" s="35">
        <v>6406.62</v>
      </c>
      <c r="C18" s="35">
        <v>6408.4</v>
      </c>
      <c r="D18" s="35">
        <v>6343.86</v>
      </c>
      <c r="E18" s="35">
        <v>6395.78</v>
      </c>
      <c r="F18" s="36">
        <v>2836925000</v>
      </c>
    </row>
    <row r="19" spans="1:6" x14ac:dyDescent="0.25">
      <c r="A19" s="28">
        <v>46010</v>
      </c>
      <c r="B19" s="35">
        <v>6446.24</v>
      </c>
      <c r="C19" s="35">
        <v>6456.48</v>
      </c>
      <c r="D19" s="35">
        <v>6400.22</v>
      </c>
      <c r="E19" s="35">
        <v>6411.37</v>
      </c>
      <c r="F19" s="36">
        <v>2532235000</v>
      </c>
    </row>
    <row r="20" spans="1:6" x14ac:dyDescent="0.25">
      <c r="A20" s="28">
        <v>46009</v>
      </c>
      <c r="B20" s="35">
        <v>6445.02</v>
      </c>
      <c r="C20" s="35">
        <v>6455.35</v>
      </c>
      <c r="D20" s="35">
        <v>6437.7</v>
      </c>
      <c r="E20" s="35">
        <v>6449.15</v>
      </c>
      <c r="F20" s="36">
        <v>3068607000</v>
      </c>
    </row>
    <row r="21" spans="1:6" x14ac:dyDescent="0.25">
      <c r="A21" s="28">
        <v>46006</v>
      </c>
      <c r="B21" s="35">
        <v>6477.38</v>
      </c>
      <c r="C21" s="35">
        <v>6481.34</v>
      </c>
      <c r="D21" s="35">
        <v>6441.85</v>
      </c>
      <c r="E21" s="35">
        <v>6449.8</v>
      </c>
      <c r="F21" s="36">
        <v>2727467000</v>
      </c>
    </row>
    <row r="22" spans="1:6" x14ac:dyDescent="0.25">
      <c r="A22" s="28">
        <v>46005</v>
      </c>
      <c r="B22" s="35">
        <v>6453.46</v>
      </c>
      <c r="C22" s="35">
        <v>6473.92</v>
      </c>
      <c r="D22" s="35">
        <v>6441.07</v>
      </c>
      <c r="E22" s="35">
        <v>6468.54</v>
      </c>
      <c r="F22" s="36">
        <v>3028015000</v>
      </c>
    </row>
    <row r="23" spans="1:6" x14ac:dyDescent="0.25">
      <c r="A23" s="28">
        <v>46004</v>
      </c>
      <c r="B23" s="35">
        <v>6462.67</v>
      </c>
      <c r="C23" s="35">
        <v>6480.28</v>
      </c>
      <c r="D23" s="35">
        <v>6445.02</v>
      </c>
      <c r="E23" s="35">
        <v>6466.58</v>
      </c>
      <c r="F23" s="36">
        <v>2827510000</v>
      </c>
    </row>
    <row r="24" spans="1:6" x14ac:dyDescent="0.25">
      <c r="A24" s="28">
        <v>46003</v>
      </c>
      <c r="B24" s="35">
        <v>6395.17</v>
      </c>
      <c r="C24" s="35">
        <v>6446.55</v>
      </c>
      <c r="D24" s="35">
        <v>6385.76</v>
      </c>
      <c r="E24" s="35">
        <v>6445.76</v>
      </c>
      <c r="F24" s="36">
        <v>2808244000</v>
      </c>
    </row>
    <row r="25" spans="1:6" x14ac:dyDescent="0.25">
      <c r="A25" s="28">
        <v>46002</v>
      </c>
      <c r="B25" s="35">
        <v>6389.67</v>
      </c>
      <c r="C25" s="35">
        <v>6407.25</v>
      </c>
      <c r="D25" s="35">
        <v>6364.06</v>
      </c>
      <c r="E25" s="35">
        <v>6373.45</v>
      </c>
      <c r="F25" s="36">
        <v>2777129000</v>
      </c>
    </row>
    <row r="26" spans="1:6" x14ac:dyDescent="0.25">
      <c r="A26" s="28">
        <v>45999</v>
      </c>
      <c r="B26" s="35">
        <v>6355.22</v>
      </c>
      <c r="C26" s="35">
        <v>6395.16</v>
      </c>
      <c r="D26" s="35">
        <v>6355.22</v>
      </c>
      <c r="E26" s="35">
        <v>6389.45</v>
      </c>
      <c r="F26" s="36">
        <v>3094899000</v>
      </c>
    </row>
    <row r="27" spans="1:6" x14ac:dyDescent="0.25">
      <c r="A27" s="28">
        <v>45998</v>
      </c>
      <c r="B27" s="35">
        <v>6374.32</v>
      </c>
      <c r="C27" s="35">
        <v>6389.71</v>
      </c>
      <c r="D27" s="35">
        <v>6310.32</v>
      </c>
      <c r="E27" s="35">
        <v>6340</v>
      </c>
      <c r="F27" s="36">
        <v>3224381000</v>
      </c>
    </row>
    <row r="28" spans="1:6" x14ac:dyDescent="0.25">
      <c r="A28" s="28">
        <v>45997</v>
      </c>
      <c r="B28" s="35">
        <v>6309.3</v>
      </c>
      <c r="C28" s="35">
        <v>6352.83</v>
      </c>
      <c r="D28" s="35">
        <v>6301.11</v>
      </c>
      <c r="E28" s="35">
        <v>6345.06</v>
      </c>
      <c r="F28" s="36">
        <v>3025764000</v>
      </c>
    </row>
    <row r="29" spans="1:6" x14ac:dyDescent="0.25">
      <c r="A29" s="28">
        <v>45996</v>
      </c>
      <c r="B29" s="35">
        <v>6336.63</v>
      </c>
      <c r="C29" s="35">
        <v>6346</v>
      </c>
      <c r="D29" s="35">
        <v>6289.37</v>
      </c>
      <c r="E29" s="35">
        <v>6299.19</v>
      </c>
      <c r="F29" s="36">
        <v>2904208000</v>
      </c>
    </row>
    <row r="30" spans="1:6" x14ac:dyDescent="0.25">
      <c r="A30" s="28">
        <v>45995</v>
      </c>
      <c r="B30" s="35">
        <v>6271.71</v>
      </c>
      <c r="C30" s="35">
        <v>6330.69</v>
      </c>
      <c r="D30" s="35">
        <v>6271.71</v>
      </c>
      <c r="E30" s="35">
        <v>6329.94</v>
      </c>
      <c r="F30" s="36">
        <v>3561746000</v>
      </c>
    </row>
    <row r="31" spans="1:6" x14ac:dyDescent="0.25">
      <c r="A31" s="28">
        <v>45992</v>
      </c>
      <c r="B31" s="35">
        <v>6287.28</v>
      </c>
      <c r="C31" s="35">
        <v>6287.28</v>
      </c>
      <c r="D31" s="35">
        <v>6212.69</v>
      </c>
      <c r="E31" s="35">
        <v>6238.01</v>
      </c>
      <c r="F31" s="36">
        <v>3924566000</v>
      </c>
    </row>
    <row r="32" spans="1:6" x14ac:dyDescent="0.25">
      <c r="A32" s="28">
        <v>45991</v>
      </c>
      <c r="B32" s="35">
        <v>6427.02</v>
      </c>
      <c r="C32" s="35">
        <v>6427.02</v>
      </c>
      <c r="D32" s="35">
        <v>6327.64</v>
      </c>
      <c r="E32" s="35">
        <v>6339.39</v>
      </c>
      <c r="F32" s="36">
        <v>3220597000</v>
      </c>
    </row>
    <row r="33" spans="1:6" x14ac:dyDescent="0.25">
      <c r="A33" s="28">
        <v>45990</v>
      </c>
      <c r="B33" s="35">
        <v>6381.23</v>
      </c>
      <c r="C33" s="35">
        <v>6396.54</v>
      </c>
      <c r="D33" s="35">
        <v>6336.38</v>
      </c>
      <c r="E33" s="35">
        <v>6362.9</v>
      </c>
      <c r="F33" s="36">
        <v>3180883000</v>
      </c>
    </row>
    <row r="34" spans="1:6" x14ac:dyDescent="0.25">
      <c r="A34" s="28">
        <v>45989</v>
      </c>
      <c r="B34" s="35">
        <v>6405.62</v>
      </c>
      <c r="C34" s="35">
        <v>6409.26</v>
      </c>
      <c r="D34" s="35">
        <v>6363.92</v>
      </c>
      <c r="E34" s="35">
        <v>6370.86</v>
      </c>
      <c r="F34" s="36">
        <v>2796998000</v>
      </c>
    </row>
    <row r="35" spans="1:6" x14ac:dyDescent="0.25">
      <c r="A35" s="28">
        <v>45988</v>
      </c>
      <c r="B35" s="35">
        <v>6397.69</v>
      </c>
      <c r="C35" s="35">
        <v>6401.07</v>
      </c>
      <c r="D35" s="35">
        <v>6375.79</v>
      </c>
      <c r="E35" s="35">
        <v>6389.77</v>
      </c>
      <c r="F35" s="36">
        <v>2955261000</v>
      </c>
    </row>
    <row r="36" spans="1:6" x14ac:dyDescent="0.25">
      <c r="A36" s="28">
        <v>45985</v>
      </c>
      <c r="B36" s="35">
        <v>6370.01</v>
      </c>
      <c r="C36" s="35">
        <v>6395.82</v>
      </c>
      <c r="D36" s="35">
        <v>6368.53</v>
      </c>
      <c r="E36" s="35">
        <v>6388.64</v>
      </c>
      <c r="F36" s="36">
        <v>3303076000</v>
      </c>
    </row>
    <row r="37" spans="1:6" x14ac:dyDescent="0.25">
      <c r="A37" s="28">
        <v>45984</v>
      </c>
      <c r="B37" s="35">
        <v>6368.6</v>
      </c>
      <c r="C37" s="35">
        <v>6381.31</v>
      </c>
      <c r="D37" s="35">
        <v>6360.57</v>
      </c>
      <c r="E37" s="35">
        <v>6363.35</v>
      </c>
      <c r="F37" s="36">
        <v>3133391000</v>
      </c>
    </row>
    <row r="38" spans="1:6" x14ac:dyDescent="0.25">
      <c r="A38" s="28">
        <v>45983</v>
      </c>
      <c r="B38" s="35">
        <v>6326.9</v>
      </c>
      <c r="C38" s="35">
        <v>6360.64</v>
      </c>
      <c r="D38" s="35">
        <v>6317.49</v>
      </c>
      <c r="E38" s="35">
        <v>6358.91</v>
      </c>
      <c r="F38" s="36">
        <v>2948990000</v>
      </c>
    </row>
    <row r="39" spans="1:6" x14ac:dyDescent="0.25">
      <c r="A39" s="28">
        <v>45982</v>
      </c>
      <c r="B39" s="35">
        <v>6306.6</v>
      </c>
      <c r="C39" s="35">
        <v>6316.12</v>
      </c>
      <c r="D39" s="35">
        <v>6281.71</v>
      </c>
      <c r="E39" s="35">
        <v>6309.62</v>
      </c>
      <c r="F39" s="36">
        <v>2600729000</v>
      </c>
    </row>
    <row r="40" spans="1:6" x14ac:dyDescent="0.25">
      <c r="A40" s="28">
        <v>45981</v>
      </c>
      <c r="B40" s="35">
        <v>6304.74</v>
      </c>
      <c r="C40" s="35">
        <v>6336.08</v>
      </c>
      <c r="D40" s="35">
        <v>6303.79</v>
      </c>
      <c r="E40" s="35">
        <v>6305.6</v>
      </c>
      <c r="F40" s="36">
        <v>3001232000</v>
      </c>
    </row>
    <row r="41" spans="1:6" x14ac:dyDescent="0.25">
      <c r="A41" s="28">
        <v>45978</v>
      </c>
      <c r="B41" s="35">
        <v>6312.95</v>
      </c>
      <c r="C41" s="35">
        <v>6315.61</v>
      </c>
      <c r="D41" s="35">
        <v>6285.27</v>
      </c>
      <c r="E41" s="35">
        <v>6296.79</v>
      </c>
      <c r="F41" s="36">
        <v>2970583000</v>
      </c>
    </row>
    <row r="42" spans="1:6" x14ac:dyDescent="0.25">
      <c r="A42" s="28">
        <v>45977</v>
      </c>
      <c r="B42" s="35">
        <v>6263.4</v>
      </c>
      <c r="C42" s="35">
        <v>6304.69</v>
      </c>
      <c r="D42" s="35">
        <v>6262.27</v>
      </c>
      <c r="E42" s="35">
        <v>6297.36</v>
      </c>
      <c r="F42" s="36">
        <v>2895164000</v>
      </c>
    </row>
    <row r="43" spans="1:6" x14ac:dyDescent="0.25">
      <c r="A43" s="28">
        <v>45976</v>
      </c>
      <c r="B43" s="35">
        <v>6254.5</v>
      </c>
      <c r="C43" s="35">
        <v>6268.12</v>
      </c>
      <c r="D43" s="35">
        <v>6201.59</v>
      </c>
      <c r="E43" s="35">
        <v>6263.7</v>
      </c>
      <c r="F43" s="36">
        <v>3059392000</v>
      </c>
    </row>
    <row r="44" spans="1:6" x14ac:dyDescent="0.25">
      <c r="A44" s="28">
        <v>45975</v>
      </c>
      <c r="B44" s="35">
        <v>6295.29</v>
      </c>
      <c r="C44" s="35">
        <v>6302.04</v>
      </c>
      <c r="D44" s="35">
        <v>6241.68</v>
      </c>
      <c r="E44" s="35">
        <v>6243.76</v>
      </c>
      <c r="F44" s="36">
        <v>2676016000</v>
      </c>
    </row>
    <row r="45" spans="1:6" x14ac:dyDescent="0.25">
      <c r="A45" s="28">
        <v>45974</v>
      </c>
      <c r="B45" s="35">
        <v>6255.15</v>
      </c>
      <c r="C45" s="35">
        <v>6273.31</v>
      </c>
      <c r="D45" s="35">
        <v>6239.22</v>
      </c>
      <c r="E45" s="35">
        <v>6268.56</v>
      </c>
      <c r="F45" s="36">
        <v>2575492000</v>
      </c>
    </row>
    <row r="46" spans="1:6" x14ac:dyDescent="0.25">
      <c r="A46" s="28">
        <v>45971</v>
      </c>
      <c r="B46" s="35">
        <v>6255.68</v>
      </c>
      <c r="C46" s="35">
        <v>6269.44</v>
      </c>
      <c r="D46" s="35">
        <v>6237.6</v>
      </c>
      <c r="E46" s="35">
        <v>6259.75</v>
      </c>
      <c r="F46" s="36">
        <v>2780718000</v>
      </c>
    </row>
    <row r="47" spans="1:6" x14ac:dyDescent="0.25">
      <c r="A47" s="28">
        <v>45970</v>
      </c>
      <c r="B47" s="35">
        <v>6266.8</v>
      </c>
      <c r="C47" s="35">
        <v>6290.22</v>
      </c>
      <c r="D47" s="35">
        <v>6251.44</v>
      </c>
      <c r="E47" s="35">
        <v>6280.46</v>
      </c>
      <c r="F47" s="36">
        <v>2764221000</v>
      </c>
    </row>
    <row r="48" spans="1:6" x14ac:dyDescent="0.25">
      <c r="A48" s="28">
        <v>45969</v>
      </c>
      <c r="B48" s="35">
        <v>6243.33</v>
      </c>
      <c r="C48" s="35">
        <v>6269.16</v>
      </c>
      <c r="D48" s="35">
        <v>6231.43</v>
      </c>
      <c r="E48" s="35">
        <v>6263.26</v>
      </c>
      <c r="F48" s="36">
        <v>2934972000</v>
      </c>
    </row>
    <row r="49" spans="1:17" x14ac:dyDescent="0.25">
      <c r="A49" s="28">
        <v>45968</v>
      </c>
      <c r="B49" s="35">
        <v>6234.03</v>
      </c>
      <c r="C49" s="35">
        <v>6242.7</v>
      </c>
      <c r="D49" s="35">
        <v>6217.75</v>
      </c>
      <c r="E49" s="35">
        <v>6225.52</v>
      </c>
      <c r="F49" s="36">
        <v>2668766000</v>
      </c>
    </row>
    <row r="50" spans="1:17" x14ac:dyDescent="0.25">
      <c r="A50" s="28">
        <v>45967</v>
      </c>
      <c r="B50" s="35">
        <v>6259.04</v>
      </c>
      <c r="C50" s="35">
        <v>6262.07</v>
      </c>
      <c r="D50" s="35">
        <v>6201</v>
      </c>
      <c r="E50" s="35">
        <v>6229.98</v>
      </c>
      <c r="F50" s="36">
        <v>1822312000</v>
      </c>
      <c r="Q50" t="s">
        <v>75</v>
      </c>
    </row>
    <row r="51" spans="1:17" x14ac:dyDescent="0.25">
      <c r="A51" s="28">
        <v>45963</v>
      </c>
      <c r="B51" s="35">
        <v>6246.46</v>
      </c>
      <c r="C51" s="35">
        <v>6284.65</v>
      </c>
      <c r="D51" s="35">
        <v>6246.46</v>
      </c>
      <c r="E51" s="35">
        <v>6279.35</v>
      </c>
      <c r="F51" s="36">
        <v>3077847000</v>
      </c>
    </row>
    <row r="52" spans="1:17" x14ac:dyDescent="0.25">
      <c r="A52" s="28">
        <v>45962</v>
      </c>
      <c r="B52" s="35">
        <v>6193.88</v>
      </c>
      <c r="C52" s="35">
        <v>6227.6</v>
      </c>
      <c r="D52" s="35">
        <v>6188.29</v>
      </c>
      <c r="E52" s="35">
        <v>6227.42</v>
      </c>
      <c r="F52" s="36">
        <v>3477668000</v>
      </c>
    </row>
    <row r="53" spans="1:17" x14ac:dyDescent="0.25">
      <c r="A53" s="28">
        <v>45961</v>
      </c>
      <c r="B53" s="35">
        <v>6187.25</v>
      </c>
      <c r="C53" s="35">
        <v>6210.78</v>
      </c>
      <c r="D53" s="35">
        <v>6177.97</v>
      </c>
      <c r="E53" s="35">
        <v>6198.01</v>
      </c>
      <c r="F53" s="36">
        <v>3223355000</v>
      </c>
    </row>
    <row r="54" spans="1:17" x14ac:dyDescent="0.25">
      <c r="A54" s="28">
        <v>45960</v>
      </c>
      <c r="B54" s="35">
        <v>6193.36</v>
      </c>
      <c r="C54" s="35">
        <v>6215.08</v>
      </c>
      <c r="D54" s="35">
        <v>6174.97</v>
      </c>
      <c r="E54" s="35">
        <v>6204.95</v>
      </c>
      <c r="F54" s="36">
        <v>4034009000</v>
      </c>
    </row>
    <row r="55" spans="1:17" x14ac:dyDescent="0.25">
      <c r="A55" s="28">
        <v>45957</v>
      </c>
      <c r="B55" s="35">
        <v>6150.7</v>
      </c>
      <c r="C55" s="35">
        <v>6187.68</v>
      </c>
      <c r="D55" s="35">
        <v>6132.35</v>
      </c>
      <c r="E55" s="35">
        <v>6173.07</v>
      </c>
      <c r="F55" s="36">
        <v>3000550000</v>
      </c>
    </row>
    <row r="56" spans="1:17" x14ac:dyDescent="0.25">
      <c r="A56" s="28">
        <v>45956</v>
      </c>
      <c r="B56" s="35">
        <v>6112.09</v>
      </c>
      <c r="C56" s="35">
        <v>6146.52</v>
      </c>
      <c r="D56" s="35">
        <v>6107.27</v>
      </c>
      <c r="E56" s="35">
        <v>6141.02</v>
      </c>
      <c r="F56" s="36">
        <v>2828758000</v>
      </c>
    </row>
    <row r="57" spans="1:17" x14ac:dyDescent="0.25">
      <c r="A57" s="28">
        <v>45955</v>
      </c>
      <c r="B57" s="35">
        <v>6104.23</v>
      </c>
      <c r="C57" s="35">
        <v>6108.51</v>
      </c>
      <c r="D57" s="35">
        <v>6080.09</v>
      </c>
      <c r="E57" s="35">
        <v>6092.16</v>
      </c>
      <c r="F57" s="36">
        <v>3159211000</v>
      </c>
    </row>
    <row r="58" spans="1:17" x14ac:dyDescent="0.25">
      <c r="A58" s="28">
        <v>45954</v>
      </c>
      <c r="B58" s="35">
        <v>6061.21</v>
      </c>
      <c r="C58" s="35">
        <v>6101.76</v>
      </c>
      <c r="D58" s="35">
        <v>6059.25</v>
      </c>
      <c r="E58" s="35">
        <v>6092.18</v>
      </c>
      <c r="F58" s="36">
        <v>3149434000</v>
      </c>
    </row>
    <row r="59" spans="1:17" x14ac:dyDescent="0.25">
      <c r="A59" s="28">
        <v>45953</v>
      </c>
      <c r="B59" s="35">
        <v>5969.67</v>
      </c>
      <c r="C59" s="35">
        <v>6028.77</v>
      </c>
      <c r="D59" s="35">
        <v>5943.23</v>
      </c>
      <c r="E59" s="35">
        <v>6025.17</v>
      </c>
      <c r="F59" s="36">
        <v>4778016000</v>
      </c>
    </row>
    <row r="60" spans="1:17" x14ac:dyDescent="0.25">
      <c r="A60" s="28">
        <v>45950</v>
      </c>
      <c r="B60" s="35">
        <v>5999.67</v>
      </c>
      <c r="C60" s="35">
        <v>6018.2</v>
      </c>
      <c r="D60" s="35">
        <v>5952.56</v>
      </c>
      <c r="E60" s="35">
        <v>5967.84</v>
      </c>
      <c r="F60" s="36">
        <v>2893245000</v>
      </c>
    </row>
    <row r="61" spans="1:17" x14ac:dyDescent="0.25">
      <c r="A61" s="28">
        <v>45948</v>
      </c>
      <c r="B61" s="35">
        <v>5987.93</v>
      </c>
      <c r="C61" s="35">
        <v>6018.25</v>
      </c>
      <c r="D61" s="35">
        <v>5971.89</v>
      </c>
      <c r="E61" s="35">
        <v>5980.87</v>
      </c>
      <c r="F61" s="36">
        <v>2780146000</v>
      </c>
    </row>
    <row r="62" spans="1:17" x14ac:dyDescent="0.25">
      <c r="A62" s="28">
        <v>45947</v>
      </c>
      <c r="B62" s="35">
        <v>6012.15</v>
      </c>
      <c r="C62" s="35">
        <v>6023.25</v>
      </c>
      <c r="D62" s="35">
        <v>5974.8</v>
      </c>
      <c r="E62" s="35">
        <v>5982.72</v>
      </c>
      <c r="F62" s="36">
        <v>2810641000</v>
      </c>
    </row>
    <row r="63" spans="1:17" x14ac:dyDescent="0.25">
      <c r="A63" s="28">
        <v>45946</v>
      </c>
      <c r="B63" s="35">
        <v>6004</v>
      </c>
      <c r="C63" s="35">
        <v>6050.83</v>
      </c>
      <c r="D63" s="35">
        <v>6004</v>
      </c>
      <c r="E63" s="35">
        <v>6033.11</v>
      </c>
      <c r="F63" s="36">
        <v>2939305000</v>
      </c>
    </row>
    <row r="64" spans="1:17" x14ac:dyDescent="0.25">
      <c r="A64" s="28">
        <v>45943</v>
      </c>
      <c r="B64" s="35">
        <v>6000.56</v>
      </c>
      <c r="C64" s="35">
        <v>6026.16</v>
      </c>
      <c r="D64" s="35">
        <v>5963.21</v>
      </c>
      <c r="E64" s="35">
        <v>5976.97</v>
      </c>
      <c r="F64" s="36">
        <v>2541857000</v>
      </c>
    </row>
    <row r="65" spans="1:6" x14ac:dyDescent="0.25">
      <c r="A65" s="28">
        <v>45942</v>
      </c>
      <c r="B65" s="35">
        <v>6009.9</v>
      </c>
      <c r="C65" s="35">
        <v>6045.43</v>
      </c>
      <c r="D65" s="35">
        <v>6003.88</v>
      </c>
      <c r="E65" s="35">
        <v>6045.26</v>
      </c>
      <c r="F65" s="36">
        <v>3432729000</v>
      </c>
    </row>
    <row r="66" spans="1:6" x14ac:dyDescent="0.25">
      <c r="A66" s="28">
        <v>45941</v>
      </c>
      <c r="B66" s="35">
        <v>6049.38</v>
      </c>
      <c r="C66" s="35">
        <v>6059.4</v>
      </c>
      <c r="D66" s="35">
        <v>6002.32</v>
      </c>
      <c r="E66" s="35">
        <v>6022.24</v>
      </c>
      <c r="F66" s="36">
        <v>4083615000</v>
      </c>
    </row>
    <row r="67" spans="1:6" x14ac:dyDescent="0.25">
      <c r="A67" s="28">
        <v>45940</v>
      </c>
      <c r="B67" s="35">
        <v>6009.91</v>
      </c>
      <c r="C67" s="35">
        <v>6043.01</v>
      </c>
      <c r="D67" s="35">
        <v>6000.28</v>
      </c>
      <c r="E67" s="35">
        <v>6038.81</v>
      </c>
      <c r="F67" s="36">
        <v>2090733000</v>
      </c>
    </row>
    <row r="68" spans="1:6" x14ac:dyDescent="0.25">
      <c r="A68" s="28">
        <v>45939</v>
      </c>
      <c r="B68" s="35">
        <v>6004.63</v>
      </c>
      <c r="C68" s="35">
        <v>6021.31</v>
      </c>
      <c r="D68" s="35">
        <v>5994.18</v>
      </c>
      <c r="E68" s="35">
        <v>6005.88</v>
      </c>
      <c r="F68" s="36">
        <v>4736881000</v>
      </c>
    </row>
    <row r="69" spans="1:6" x14ac:dyDescent="0.25">
      <c r="A69" s="28">
        <v>45936</v>
      </c>
      <c r="B69" s="35">
        <v>5987.06</v>
      </c>
      <c r="C69" s="35">
        <v>6016.87</v>
      </c>
      <c r="D69" s="35">
        <v>5978.63</v>
      </c>
      <c r="E69" s="35">
        <v>6000.36</v>
      </c>
      <c r="F69" s="36">
        <v>3111349000</v>
      </c>
    </row>
    <row r="70" spans="1:6" x14ac:dyDescent="0.25">
      <c r="A70" s="28">
        <v>45935</v>
      </c>
      <c r="B70" s="35">
        <v>5985.67</v>
      </c>
      <c r="C70" s="35">
        <v>5999.7</v>
      </c>
      <c r="D70" s="35">
        <v>5921.2</v>
      </c>
      <c r="E70" s="35">
        <v>5939.3</v>
      </c>
      <c r="F70" s="36">
        <v>3223369000</v>
      </c>
    </row>
    <row r="71" spans="1:6" x14ac:dyDescent="0.25">
      <c r="A71" s="28">
        <v>45934</v>
      </c>
      <c r="B71" s="35">
        <v>5978.94</v>
      </c>
      <c r="C71" s="35">
        <v>5990.48</v>
      </c>
      <c r="D71" s="35">
        <v>5966.11</v>
      </c>
      <c r="E71" s="35">
        <v>5970.81</v>
      </c>
      <c r="F71" s="36">
        <v>3346459000</v>
      </c>
    </row>
    <row r="72" spans="1:6" x14ac:dyDescent="0.25">
      <c r="A72" s="28">
        <v>45933</v>
      </c>
      <c r="B72" s="35">
        <v>5938.56</v>
      </c>
      <c r="C72" s="35">
        <v>5981.35</v>
      </c>
      <c r="D72" s="35">
        <v>5929</v>
      </c>
      <c r="E72" s="35">
        <v>5970.37</v>
      </c>
      <c r="F72" s="36">
        <v>1879472000</v>
      </c>
    </row>
    <row r="73" spans="1:6" x14ac:dyDescent="0.25">
      <c r="A73" s="28">
        <v>45932</v>
      </c>
      <c r="B73" s="35">
        <v>5896.68</v>
      </c>
      <c r="C73" s="35">
        <v>5937.4</v>
      </c>
      <c r="D73" s="35">
        <v>5861.43</v>
      </c>
      <c r="E73" s="35">
        <v>5935.94</v>
      </c>
      <c r="F73" s="36">
        <v>4259357000</v>
      </c>
    </row>
    <row r="74" spans="1:6" x14ac:dyDescent="0.25">
      <c r="A74" s="28">
        <v>45929</v>
      </c>
      <c r="B74" s="35">
        <v>5903.67</v>
      </c>
      <c r="C74" s="35">
        <v>5922.14</v>
      </c>
      <c r="D74" s="35">
        <v>5843.66</v>
      </c>
      <c r="E74" s="35">
        <v>5911.69</v>
      </c>
      <c r="F74" s="36">
        <v>3466460000</v>
      </c>
    </row>
    <row r="75" spans="1:6" x14ac:dyDescent="0.25">
      <c r="A75" s="28">
        <v>45928</v>
      </c>
      <c r="B75" s="35">
        <v>5939.96</v>
      </c>
      <c r="C75" s="35">
        <v>5943.13</v>
      </c>
      <c r="D75" s="35">
        <v>5873.8</v>
      </c>
      <c r="E75" s="35">
        <v>5912.17</v>
      </c>
      <c r="F75" s="36">
        <v>3089547000</v>
      </c>
    </row>
    <row r="76" spans="1:6" x14ac:dyDescent="0.25">
      <c r="A76" s="28">
        <v>45927</v>
      </c>
      <c r="B76" s="35">
        <v>5925.54</v>
      </c>
      <c r="C76" s="35">
        <v>5939.92</v>
      </c>
      <c r="D76" s="35">
        <v>5881.88</v>
      </c>
      <c r="E76" s="35">
        <v>5888.55</v>
      </c>
      <c r="F76" s="36">
        <v>3092527000</v>
      </c>
    </row>
    <row r="77" spans="1:6" x14ac:dyDescent="0.25">
      <c r="A77" s="28">
        <v>45926</v>
      </c>
      <c r="B77" s="35">
        <v>5854.07</v>
      </c>
      <c r="C77" s="35">
        <v>5924.33</v>
      </c>
      <c r="D77" s="35">
        <v>5854.07</v>
      </c>
      <c r="E77" s="35">
        <v>5921.54</v>
      </c>
      <c r="F77" s="36">
        <v>4131497000</v>
      </c>
    </row>
    <row r="78" spans="1:6" x14ac:dyDescent="0.25">
      <c r="A78" s="28">
        <v>45922</v>
      </c>
      <c r="B78" s="35">
        <v>5781.89</v>
      </c>
      <c r="C78" s="35">
        <v>5829.51</v>
      </c>
      <c r="D78" s="35">
        <v>5767.41</v>
      </c>
      <c r="E78" s="35">
        <v>5802.82</v>
      </c>
      <c r="F78" s="36">
        <v>3567002000</v>
      </c>
    </row>
    <row r="79" spans="1:6" x14ac:dyDescent="0.25">
      <c r="A79" s="28">
        <v>45921</v>
      </c>
      <c r="B79" s="35">
        <v>5841.26</v>
      </c>
      <c r="C79" s="35">
        <v>5878.08</v>
      </c>
      <c r="D79" s="35">
        <v>5825.82</v>
      </c>
      <c r="E79" s="35">
        <v>5842.01</v>
      </c>
      <c r="F79" s="36">
        <v>4619196000</v>
      </c>
    </row>
    <row r="80" spans="1:6" x14ac:dyDescent="0.25">
      <c r="A80" s="28">
        <v>45920</v>
      </c>
      <c r="B80" s="35">
        <v>5910.18</v>
      </c>
      <c r="C80" s="35">
        <v>5938.37</v>
      </c>
      <c r="D80" s="35">
        <v>5830.91</v>
      </c>
      <c r="E80" s="35">
        <v>5844.61</v>
      </c>
      <c r="F80" s="36">
        <v>4078616000</v>
      </c>
    </row>
    <row r="81" spans="1:6" x14ac:dyDescent="0.25">
      <c r="A81" s="28">
        <v>45919</v>
      </c>
      <c r="B81" s="35">
        <v>5944.66</v>
      </c>
      <c r="C81" s="35">
        <v>5953.06</v>
      </c>
      <c r="D81" s="35">
        <v>5909.26</v>
      </c>
      <c r="E81" s="35">
        <v>5940.46</v>
      </c>
      <c r="F81" s="36">
        <v>2909202000</v>
      </c>
    </row>
    <row r="82" spans="1:6" x14ac:dyDescent="0.25">
      <c r="A82" s="28">
        <v>45918</v>
      </c>
      <c r="B82" s="35">
        <v>5902.88</v>
      </c>
      <c r="C82" s="35">
        <v>5968.61</v>
      </c>
      <c r="D82" s="35">
        <v>5895.69</v>
      </c>
      <c r="E82" s="35">
        <v>5963.6</v>
      </c>
      <c r="F82" s="36">
        <v>4247404000</v>
      </c>
    </row>
    <row r="83" spans="1:6" x14ac:dyDescent="0.25">
      <c r="A83" s="28">
        <v>45915</v>
      </c>
      <c r="B83" s="35">
        <v>5929.09</v>
      </c>
      <c r="C83" s="35">
        <v>5958.62</v>
      </c>
      <c r="D83" s="35">
        <v>5907.36</v>
      </c>
      <c r="E83" s="35">
        <v>5958.38</v>
      </c>
      <c r="F83" s="36">
        <v>2552156000</v>
      </c>
    </row>
    <row r="84" spans="1:6" x14ac:dyDescent="0.25">
      <c r="A84" s="28">
        <v>45914</v>
      </c>
      <c r="B84" s="35">
        <v>5869.82</v>
      </c>
      <c r="C84" s="35">
        <v>5924.21</v>
      </c>
      <c r="D84" s="35">
        <v>5865.16</v>
      </c>
      <c r="E84" s="35">
        <v>5916.93</v>
      </c>
      <c r="F84" s="36">
        <v>4462458000</v>
      </c>
    </row>
    <row r="85" spans="1:6" x14ac:dyDescent="0.25">
      <c r="A85" s="28">
        <v>45913</v>
      </c>
      <c r="B85" s="35">
        <v>5896.74</v>
      </c>
      <c r="C85" s="35">
        <v>5906.55</v>
      </c>
      <c r="D85" s="35">
        <v>5872.11</v>
      </c>
      <c r="E85" s="35">
        <v>5892.58</v>
      </c>
      <c r="F85" s="36">
        <v>1981232000</v>
      </c>
    </row>
    <row r="86" spans="1:6" x14ac:dyDescent="0.25">
      <c r="A86" s="28">
        <v>45912</v>
      </c>
      <c r="B86" s="35">
        <v>5854.15</v>
      </c>
      <c r="C86" s="35">
        <v>5906.64</v>
      </c>
      <c r="D86" s="35">
        <v>5845.02</v>
      </c>
      <c r="E86" s="35">
        <v>5886.55</v>
      </c>
      <c r="F86" s="36">
        <v>3118393000</v>
      </c>
    </row>
    <row r="87" spans="1:6" x14ac:dyDescent="0.25">
      <c r="A87" s="28">
        <v>45911</v>
      </c>
      <c r="B87" s="35">
        <v>5807.2</v>
      </c>
      <c r="C87" s="35">
        <v>5845.37</v>
      </c>
      <c r="D87" s="35">
        <v>5786.08</v>
      </c>
      <c r="E87" s="35">
        <v>5844.19</v>
      </c>
      <c r="F87" s="36">
        <v>3046521000</v>
      </c>
    </row>
    <row r="88" spans="1:6" x14ac:dyDescent="0.25">
      <c r="A88" s="28">
        <v>45908</v>
      </c>
      <c r="B88" s="35">
        <v>5679.65</v>
      </c>
      <c r="C88" s="35">
        <v>5691.69</v>
      </c>
      <c r="D88" s="35">
        <v>5644.15</v>
      </c>
      <c r="E88" s="35">
        <v>5659.91</v>
      </c>
      <c r="F88" s="36">
        <v>2507845000</v>
      </c>
    </row>
    <row r="89" spans="1:6" x14ac:dyDescent="0.25">
      <c r="A89" s="28">
        <v>45907</v>
      </c>
      <c r="B89" s="35">
        <v>5663.6</v>
      </c>
      <c r="C89" s="35">
        <v>5720.1</v>
      </c>
      <c r="D89" s="35">
        <v>5635.38</v>
      </c>
      <c r="E89" s="35">
        <v>5663.94</v>
      </c>
      <c r="F89" s="36">
        <v>2012674000</v>
      </c>
    </row>
    <row r="90" spans="1:6" x14ac:dyDescent="0.25">
      <c r="A90" s="28">
        <v>45906</v>
      </c>
      <c r="B90" s="35">
        <v>5614.18</v>
      </c>
      <c r="C90" s="35">
        <v>5654.73</v>
      </c>
      <c r="D90" s="35">
        <v>5578.64</v>
      </c>
      <c r="E90" s="35">
        <v>5631.28</v>
      </c>
      <c r="F90" s="36">
        <v>2999055000</v>
      </c>
    </row>
    <row r="91" spans="1:6" x14ac:dyDescent="0.25">
      <c r="A91" s="28">
        <v>45905</v>
      </c>
      <c r="B91" s="35">
        <v>5605.87</v>
      </c>
      <c r="C91" s="35">
        <v>5649.58</v>
      </c>
      <c r="D91" s="35">
        <v>5586.04</v>
      </c>
      <c r="E91" s="35">
        <v>5606.91</v>
      </c>
      <c r="F91" s="36">
        <v>4035238000</v>
      </c>
    </row>
    <row r="92" spans="1:6" x14ac:dyDescent="0.25">
      <c r="A92" s="28">
        <v>45904</v>
      </c>
      <c r="B92" s="35">
        <v>5655.32</v>
      </c>
      <c r="C92" s="35">
        <v>5683.38</v>
      </c>
      <c r="D92" s="35">
        <v>5634.48</v>
      </c>
      <c r="E92" s="35">
        <v>5650.38</v>
      </c>
      <c r="F92" s="36">
        <v>3405257000</v>
      </c>
    </row>
    <row r="93" spans="1:6" x14ac:dyDescent="0.25">
      <c r="A93" s="28">
        <v>45901</v>
      </c>
      <c r="B93" s="35">
        <v>5645.88</v>
      </c>
      <c r="C93" s="35">
        <v>5700.7</v>
      </c>
      <c r="D93" s="35">
        <v>5642.28</v>
      </c>
      <c r="E93" s="35">
        <v>5686.67</v>
      </c>
      <c r="F93" s="36">
        <v>2924473000</v>
      </c>
    </row>
    <row r="94" spans="1:6" x14ac:dyDescent="0.25">
      <c r="A94" s="28">
        <v>45900</v>
      </c>
      <c r="B94" s="35">
        <v>5625.14</v>
      </c>
      <c r="C94" s="35">
        <v>5658.91</v>
      </c>
      <c r="D94" s="35">
        <v>5597.35</v>
      </c>
      <c r="E94" s="35">
        <v>5604.14</v>
      </c>
      <c r="F94" s="36">
        <v>3299208000</v>
      </c>
    </row>
    <row r="95" spans="1:6" x14ac:dyDescent="0.25">
      <c r="A95" s="28">
        <v>45899</v>
      </c>
      <c r="B95" s="35">
        <v>5499.44</v>
      </c>
      <c r="C95" s="35">
        <v>5581.84</v>
      </c>
      <c r="D95" s="35">
        <v>5433.24</v>
      </c>
      <c r="E95" s="35">
        <v>5569.06</v>
      </c>
      <c r="F95" s="36">
        <v>2856206000</v>
      </c>
    </row>
    <row r="96" spans="1:6" x14ac:dyDescent="0.25">
      <c r="A96" s="28">
        <v>45898</v>
      </c>
      <c r="B96" s="35">
        <v>5508.87</v>
      </c>
      <c r="C96" s="35">
        <v>5571.95</v>
      </c>
      <c r="D96" s="35">
        <v>5505.7</v>
      </c>
      <c r="E96" s="35">
        <v>5560.83</v>
      </c>
      <c r="F96" s="36">
        <v>3022825000</v>
      </c>
    </row>
    <row r="97" spans="1:6" x14ac:dyDescent="0.25">
      <c r="A97" s="28">
        <v>45897</v>
      </c>
      <c r="B97" s="35">
        <v>5529.22</v>
      </c>
      <c r="C97" s="35">
        <v>5553.66</v>
      </c>
      <c r="D97" s="35">
        <v>5468.64</v>
      </c>
      <c r="E97" s="35">
        <v>5528.75</v>
      </c>
      <c r="F97" s="36">
        <v>3834910000</v>
      </c>
    </row>
    <row r="98" spans="1:6" x14ac:dyDescent="0.25">
      <c r="A98" s="28">
        <v>45894</v>
      </c>
      <c r="B98" s="35">
        <v>5489.73</v>
      </c>
      <c r="C98" s="35">
        <v>5528.11</v>
      </c>
      <c r="D98" s="35">
        <v>5455.86</v>
      </c>
      <c r="E98" s="35">
        <v>5525.21</v>
      </c>
      <c r="F98" s="36">
        <v>3849771000</v>
      </c>
    </row>
    <row r="99" spans="1:6" x14ac:dyDescent="0.25">
      <c r="A99" s="28">
        <v>45893</v>
      </c>
      <c r="B99" s="35">
        <v>5381.38</v>
      </c>
      <c r="C99" s="35">
        <v>5489.4</v>
      </c>
      <c r="D99" s="35">
        <v>5371.96</v>
      </c>
      <c r="E99" s="35">
        <v>5484.77</v>
      </c>
      <c r="F99" s="36">
        <v>2073196000</v>
      </c>
    </row>
    <row r="100" spans="1:6" x14ac:dyDescent="0.25">
      <c r="A100" s="28">
        <v>45892</v>
      </c>
      <c r="B100" s="35">
        <v>5395.92</v>
      </c>
      <c r="C100" s="35">
        <v>5469.69</v>
      </c>
      <c r="D100" s="35">
        <v>5356.17</v>
      </c>
      <c r="E100" s="35">
        <v>5375.86</v>
      </c>
      <c r="F100" s="36">
        <v>3355880000</v>
      </c>
    </row>
    <row r="101" spans="1:6" x14ac:dyDescent="0.25">
      <c r="A101" s="28">
        <v>45891</v>
      </c>
      <c r="B101" s="35">
        <v>5207.67</v>
      </c>
      <c r="C101" s="35">
        <v>5309.61</v>
      </c>
      <c r="D101" s="35">
        <v>5207.67</v>
      </c>
      <c r="E101" s="35">
        <v>5287.76</v>
      </c>
      <c r="F101" s="36">
        <v>4259370000</v>
      </c>
    </row>
    <row r="102" spans="1:6" x14ac:dyDescent="0.25">
      <c r="A102" s="28">
        <v>45890</v>
      </c>
      <c r="B102" s="35">
        <v>5232.9399999999996</v>
      </c>
      <c r="C102" s="35">
        <v>5232.9399999999996</v>
      </c>
      <c r="D102" s="35">
        <v>5101.63</v>
      </c>
      <c r="E102" s="35">
        <v>5158.2</v>
      </c>
      <c r="F102" s="36">
        <v>2863730000</v>
      </c>
    </row>
    <row r="103" spans="1:6" x14ac:dyDescent="0.25">
      <c r="A103" s="28">
        <v>45886</v>
      </c>
      <c r="B103" s="35">
        <v>5305.45</v>
      </c>
      <c r="C103" s="35">
        <v>5328.31</v>
      </c>
      <c r="D103" s="35">
        <v>5255.58</v>
      </c>
      <c r="E103" s="35">
        <v>5282.7</v>
      </c>
      <c r="F103" s="36">
        <v>3662316000</v>
      </c>
    </row>
    <row r="104" spans="1:6" x14ac:dyDescent="0.25">
      <c r="A104" s="28">
        <v>45885</v>
      </c>
      <c r="B104" s="35">
        <v>5335.75</v>
      </c>
      <c r="C104" s="35">
        <v>5367.24</v>
      </c>
      <c r="D104" s="35">
        <v>5220.79</v>
      </c>
      <c r="E104" s="35">
        <v>5275.7</v>
      </c>
      <c r="F104" s="36">
        <v>2477181000</v>
      </c>
    </row>
    <row r="105" spans="1:6" x14ac:dyDescent="0.25">
      <c r="A105" s="28">
        <v>45884</v>
      </c>
      <c r="B105" s="35">
        <v>5411.99</v>
      </c>
      <c r="C105" s="35">
        <v>5450.41</v>
      </c>
      <c r="D105" s="35">
        <v>5386.44</v>
      </c>
      <c r="E105" s="35">
        <v>5396.63</v>
      </c>
      <c r="F105" s="36">
        <v>2549918000</v>
      </c>
    </row>
    <row r="106" spans="1:6" x14ac:dyDescent="0.25">
      <c r="A106" s="28">
        <v>45883</v>
      </c>
      <c r="B106" s="35">
        <v>5441.96</v>
      </c>
      <c r="C106" s="35">
        <v>5459.46</v>
      </c>
      <c r="D106" s="35">
        <v>5358.02</v>
      </c>
      <c r="E106" s="35">
        <v>5405.97</v>
      </c>
      <c r="F106" s="36">
        <v>2310033000</v>
      </c>
    </row>
    <row r="107" spans="1:6" x14ac:dyDescent="0.25">
      <c r="A107" s="28">
        <v>45880</v>
      </c>
      <c r="B107" s="35">
        <v>5255.56</v>
      </c>
      <c r="C107" s="35">
        <v>5381.46</v>
      </c>
      <c r="D107" s="35">
        <v>5220.7700000000004</v>
      </c>
      <c r="E107" s="35">
        <v>5363.36</v>
      </c>
      <c r="F107" s="36">
        <v>2844354000</v>
      </c>
    </row>
    <row r="108" spans="1:6" x14ac:dyDescent="0.25">
      <c r="A108" s="28">
        <v>45879</v>
      </c>
      <c r="B108" s="35">
        <v>5353.15</v>
      </c>
      <c r="C108" s="35">
        <v>5353.15</v>
      </c>
      <c r="D108" s="35">
        <v>5115.2700000000004</v>
      </c>
      <c r="E108" s="35">
        <v>5268.05</v>
      </c>
      <c r="F108" s="36">
        <v>3042946000</v>
      </c>
    </row>
    <row r="109" spans="1:6" x14ac:dyDescent="0.25">
      <c r="A109" s="28">
        <v>45878</v>
      </c>
      <c r="B109" s="35">
        <v>4965.28</v>
      </c>
      <c r="C109" s="35">
        <v>5481.34</v>
      </c>
      <c r="D109" s="35">
        <v>4948.43</v>
      </c>
      <c r="E109" s="35">
        <v>5456.9</v>
      </c>
      <c r="F109" s="36">
        <v>4295119000</v>
      </c>
    </row>
    <row r="110" spans="1:6" x14ac:dyDescent="0.25">
      <c r="A110" s="28">
        <v>45877</v>
      </c>
      <c r="B110" s="35">
        <v>5193.57</v>
      </c>
      <c r="C110" s="35">
        <v>5267.47</v>
      </c>
      <c r="D110" s="35">
        <v>4910.42</v>
      </c>
      <c r="E110" s="35">
        <v>4982.7700000000004</v>
      </c>
      <c r="F110" s="36">
        <v>4099806000</v>
      </c>
    </row>
    <row r="111" spans="1:6" x14ac:dyDescent="0.25">
      <c r="A111" s="28">
        <v>45876</v>
      </c>
      <c r="B111" s="35">
        <v>4953.79</v>
      </c>
      <c r="C111" s="35">
        <v>5246.57</v>
      </c>
      <c r="D111" s="35">
        <v>4835.04</v>
      </c>
      <c r="E111" s="35">
        <v>5062.25</v>
      </c>
      <c r="F111" s="36">
        <v>3579536000</v>
      </c>
    </row>
    <row r="112" spans="1:6" x14ac:dyDescent="0.25">
      <c r="A112" s="28">
        <v>45873</v>
      </c>
      <c r="B112" s="35">
        <v>5292.14</v>
      </c>
      <c r="C112" s="35">
        <v>5292.14</v>
      </c>
      <c r="D112" s="35">
        <v>5069.8999999999996</v>
      </c>
      <c r="E112" s="35">
        <v>5074.08</v>
      </c>
      <c r="F112" s="36">
        <v>2927556000</v>
      </c>
    </row>
    <row r="113" spans="1:6" x14ac:dyDescent="0.25">
      <c r="A113" s="28">
        <v>45872</v>
      </c>
      <c r="B113" s="35">
        <v>5492.74</v>
      </c>
      <c r="C113" s="35">
        <v>5499.53</v>
      </c>
      <c r="D113" s="35">
        <v>5390.83</v>
      </c>
      <c r="E113" s="35">
        <v>5396.52</v>
      </c>
      <c r="F113" s="36">
        <v>4137588000</v>
      </c>
    </row>
    <row r="114" spans="1:6" x14ac:dyDescent="0.25">
      <c r="A114" s="28">
        <v>45871</v>
      </c>
      <c r="B114" s="35">
        <v>5580.76</v>
      </c>
      <c r="C114" s="35">
        <v>5695.31</v>
      </c>
      <c r="D114" s="35">
        <v>5571.48</v>
      </c>
      <c r="E114" s="35">
        <v>5670.97</v>
      </c>
      <c r="F114" s="36">
        <v>3454422000</v>
      </c>
    </row>
    <row r="115" spans="1:6" x14ac:dyDescent="0.25">
      <c r="A115" s="28">
        <v>45870</v>
      </c>
      <c r="B115" s="35">
        <v>5597.53</v>
      </c>
      <c r="C115" s="35">
        <v>5650.57</v>
      </c>
      <c r="D115" s="35">
        <v>5558.52</v>
      </c>
      <c r="E115" s="35">
        <v>5633.07</v>
      </c>
      <c r="F115" s="36">
        <v>3530658000</v>
      </c>
    </row>
    <row r="116" spans="1:6" x14ac:dyDescent="0.25">
      <c r="A116" s="28">
        <v>45869</v>
      </c>
      <c r="B116" s="35">
        <v>5527.91</v>
      </c>
      <c r="C116" s="35">
        <v>5627.56</v>
      </c>
      <c r="D116" s="35">
        <v>5488.73</v>
      </c>
      <c r="E116" s="35">
        <v>5611.85</v>
      </c>
      <c r="F116" s="36">
        <v>4723130000</v>
      </c>
    </row>
    <row r="117" spans="1:6" x14ac:dyDescent="0.25">
      <c r="A117" s="28">
        <v>45866</v>
      </c>
      <c r="B117" s="35">
        <v>5679.2</v>
      </c>
      <c r="C117" s="35">
        <v>5685.89</v>
      </c>
      <c r="D117" s="35">
        <v>5572.42</v>
      </c>
      <c r="E117" s="35">
        <v>5580.94</v>
      </c>
      <c r="F117" s="36">
        <v>2821054000</v>
      </c>
    </row>
    <row r="118" spans="1:6" x14ac:dyDescent="0.25">
      <c r="A118" s="28">
        <v>45865</v>
      </c>
      <c r="B118" s="35">
        <v>5695.64</v>
      </c>
      <c r="C118" s="35">
        <v>5732.28</v>
      </c>
      <c r="D118" s="35">
        <v>5670.94</v>
      </c>
      <c r="E118" s="35">
        <v>5693.31</v>
      </c>
      <c r="F118" s="36">
        <v>3999497000</v>
      </c>
    </row>
    <row r="119" spans="1:6" x14ac:dyDescent="0.25">
      <c r="A119" s="28">
        <v>45864</v>
      </c>
      <c r="B119" s="35">
        <v>5771.66</v>
      </c>
      <c r="C119" s="35">
        <v>5783.62</v>
      </c>
      <c r="D119" s="35">
        <v>5694.41</v>
      </c>
      <c r="E119" s="35">
        <v>5712.2</v>
      </c>
      <c r="F119" s="36">
        <v>2990831000</v>
      </c>
    </row>
    <row r="120" spans="1:6" x14ac:dyDescent="0.25">
      <c r="A120" s="28">
        <v>45863</v>
      </c>
      <c r="B120" s="35">
        <v>5775.96</v>
      </c>
      <c r="C120" s="35">
        <v>5786.95</v>
      </c>
      <c r="D120" s="35">
        <v>5760.42</v>
      </c>
      <c r="E120" s="35">
        <v>5776.65</v>
      </c>
      <c r="F120" s="36">
        <v>3939907000</v>
      </c>
    </row>
    <row r="121" spans="1:6" x14ac:dyDescent="0.25">
      <c r="A121" s="28">
        <v>45862</v>
      </c>
      <c r="B121" s="35">
        <v>5718.08</v>
      </c>
      <c r="C121" s="35">
        <v>5775.14</v>
      </c>
      <c r="D121" s="35">
        <v>5718.08</v>
      </c>
      <c r="E121" s="35">
        <v>5767.57</v>
      </c>
      <c r="F121" s="36">
        <v>3958855000</v>
      </c>
    </row>
    <row r="122" spans="1:6" x14ac:dyDescent="0.25">
      <c r="A122" s="28">
        <v>45859</v>
      </c>
      <c r="B122" s="35">
        <v>5630.73</v>
      </c>
      <c r="C122" s="35">
        <v>5670.84</v>
      </c>
      <c r="D122" s="35">
        <v>5603.1</v>
      </c>
      <c r="E122" s="35">
        <v>5667.56</v>
      </c>
      <c r="F122" s="36">
        <v>4665024000</v>
      </c>
    </row>
    <row r="123" spans="1:6" x14ac:dyDescent="0.25">
      <c r="A123" s="28">
        <v>45858</v>
      </c>
      <c r="B123" s="35">
        <v>5646.92</v>
      </c>
      <c r="C123" s="35">
        <v>5711.15</v>
      </c>
      <c r="D123" s="35">
        <v>5632.33</v>
      </c>
      <c r="E123" s="35">
        <v>5662.89</v>
      </c>
      <c r="F123" s="36">
        <v>4675341000</v>
      </c>
    </row>
    <row r="124" spans="1:6" x14ac:dyDescent="0.25">
      <c r="A124" s="28">
        <v>45857</v>
      </c>
      <c r="B124" s="35">
        <v>5632.37</v>
      </c>
      <c r="C124" s="35">
        <v>5715.33</v>
      </c>
      <c r="D124" s="35">
        <v>5622.2</v>
      </c>
      <c r="E124" s="35">
        <v>5675.29</v>
      </c>
      <c r="F124" s="36">
        <v>4019164000</v>
      </c>
    </row>
    <row r="125" spans="1:6" x14ac:dyDescent="0.25">
      <c r="A125" s="28">
        <v>45856</v>
      </c>
      <c r="B125" s="35">
        <v>5654.53</v>
      </c>
      <c r="C125" s="35">
        <v>5654.53</v>
      </c>
      <c r="D125" s="35">
        <v>5597.76</v>
      </c>
      <c r="E125" s="35">
        <v>5614.66</v>
      </c>
      <c r="F125" s="36">
        <v>2682310000</v>
      </c>
    </row>
    <row r="126" spans="1:6" x14ac:dyDescent="0.25">
      <c r="A126" s="28">
        <v>45855</v>
      </c>
      <c r="B126" s="35">
        <v>5635.6</v>
      </c>
      <c r="C126" s="35">
        <v>5703.52</v>
      </c>
      <c r="D126" s="35">
        <v>5631.12</v>
      </c>
      <c r="E126" s="35">
        <v>5675.12</v>
      </c>
      <c r="F126" s="36">
        <v>4148740000</v>
      </c>
    </row>
    <row r="127" spans="1:6" x14ac:dyDescent="0.25">
      <c r="A127" s="28">
        <v>45852</v>
      </c>
      <c r="B127" s="35">
        <v>5563.85</v>
      </c>
      <c r="C127" s="35">
        <v>5645.27</v>
      </c>
      <c r="D127" s="35">
        <v>5563.85</v>
      </c>
      <c r="E127" s="35">
        <v>5638.94</v>
      </c>
      <c r="F127" s="36">
        <v>3389085000</v>
      </c>
    </row>
    <row r="128" spans="1:6" x14ac:dyDescent="0.25">
      <c r="A128" s="28">
        <v>45851</v>
      </c>
      <c r="B128" s="35">
        <v>5594.45</v>
      </c>
      <c r="C128" s="35">
        <v>5597.78</v>
      </c>
      <c r="D128" s="35">
        <v>5504.65</v>
      </c>
      <c r="E128" s="35">
        <v>5521.52</v>
      </c>
      <c r="F128" s="36">
        <v>1994728000</v>
      </c>
    </row>
    <row r="129" spans="1:6" x14ac:dyDescent="0.25">
      <c r="A129" s="28">
        <v>45850</v>
      </c>
      <c r="B129" s="35">
        <v>5624.84</v>
      </c>
      <c r="C129" s="35">
        <v>5642.19</v>
      </c>
      <c r="D129" s="35">
        <v>5546.09</v>
      </c>
      <c r="E129" s="35">
        <v>5599.3</v>
      </c>
      <c r="F129" s="36">
        <v>4537947000</v>
      </c>
    </row>
    <row r="130" spans="1:6" x14ac:dyDescent="0.25">
      <c r="A130" s="28">
        <v>45849</v>
      </c>
      <c r="B130" s="35">
        <v>5603.65</v>
      </c>
      <c r="C130" s="35">
        <v>5636.3</v>
      </c>
      <c r="D130" s="35">
        <v>5528.41</v>
      </c>
      <c r="E130" s="35">
        <v>5572.07</v>
      </c>
      <c r="F130" s="36">
        <v>3891712000</v>
      </c>
    </row>
    <row r="131" spans="1:6" x14ac:dyDescent="0.25">
      <c r="A131" s="28">
        <v>45848</v>
      </c>
      <c r="B131" s="35">
        <v>5705.37</v>
      </c>
      <c r="C131" s="35">
        <v>5705.37</v>
      </c>
      <c r="D131" s="35">
        <v>5564.02</v>
      </c>
      <c r="E131" s="35">
        <v>5614.56</v>
      </c>
      <c r="F131" s="36">
        <v>2996861000</v>
      </c>
    </row>
    <row r="132" spans="1:6" x14ac:dyDescent="0.25">
      <c r="A132" s="28">
        <v>45845</v>
      </c>
      <c r="B132" s="35">
        <v>5726.01</v>
      </c>
      <c r="C132" s="35">
        <v>5783.01</v>
      </c>
      <c r="D132" s="35">
        <v>5666.29</v>
      </c>
      <c r="E132" s="35">
        <v>5770.2</v>
      </c>
      <c r="F132" s="36">
        <v>3186803000</v>
      </c>
    </row>
    <row r="133" spans="1:6" x14ac:dyDescent="0.25">
      <c r="A133" s="28">
        <v>45844</v>
      </c>
      <c r="B133" s="35">
        <v>5785.87</v>
      </c>
      <c r="C133" s="35">
        <v>5812.08</v>
      </c>
      <c r="D133" s="35">
        <v>5711.64</v>
      </c>
      <c r="E133" s="35">
        <v>5738.52</v>
      </c>
      <c r="F133" s="36">
        <v>2554137000</v>
      </c>
    </row>
    <row r="134" spans="1:6" x14ac:dyDescent="0.25">
      <c r="A134" s="28">
        <v>45843</v>
      </c>
      <c r="B134" s="35">
        <v>5781.36</v>
      </c>
      <c r="C134" s="35">
        <v>5860.59</v>
      </c>
      <c r="D134" s="35">
        <v>5742.35</v>
      </c>
      <c r="E134" s="35">
        <v>5842.63</v>
      </c>
      <c r="F134" s="36">
        <v>3056271000</v>
      </c>
    </row>
    <row r="135" spans="1:6" x14ac:dyDescent="0.25">
      <c r="A135" s="28">
        <v>45842</v>
      </c>
      <c r="B135" s="35">
        <v>5811.98</v>
      </c>
      <c r="C135" s="35">
        <v>5865.08</v>
      </c>
      <c r="D135" s="35">
        <v>5732.59</v>
      </c>
      <c r="E135" s="35">
        <v>5778.15</v>
      </c>
      <c r="F135" s="36">
        <v>3865882000</v>
      </c>
    </row>
    <row r="136" spans="1:6" x14ac:dyDescent="0.25">
      <c r="A136" s="28">
        <v>45841</v>
      </c>
      <c r="B136" s="35">
        <v>5968.33</v>
      </c>
      <c r="C136" s="35">
        <v>5986.09</v>
      </c>
      <c r="D136" s="35">
        <v>5810.91</v>
      </c>
      <c r="E136" s="35">
        <v>5849.72</v>
      </c>
      <c r="F136" s="36">
        <v>3251187000</v>
      </c>
    </row>
    <row r="137" spans="1:6" x14ac:dyDescent="0.25">
      <c r="A137" s="28">
        <v>45838</v>
      </c>
      <c r="B137" s="35">
        <v>5856.74</v>
      </c>
      <c r="C137" s="35">
        <v>5959.4</v>
      </c>
      <c r="D137" s="35">
        <v>5837.66</v>
      </c>
      <c r="E137" s="35">
        <v>5954.5</v>
      </c>
      <c r="F137" s="36">
        <v>4450389000</v>
      </c>
    </row>
    <row r="138" spans="1:6" x14ac:dyDescent="0.25">
      <c r="A138" s="28">
        <v>45837</v>
      </c>
      <c r="B138" s="35">
        <v>5981.88</v>
      </c>
      <c r="C138" s="35">
        <v>5993.69</v>
      </c>
      <c r="D138" s="35">
        <v>5858.78</v>
      </c>
      <c r="E138" s="35">
        <v>5861.57</v>
      </c>
      <c r="F138" s="36">
        <v>3981583000</v>
      </c>
    </row>
    <row r="139" spans="1:6" x14ac:dyDescent="0.25">
      <c r="A139" s="28">
        <v>45836</v>
      </c>
      <c r="B139" s="35">
        <v>5970.87</v>
      </c>
      <c r="C139" s="35">
        <v>6009.82</v>
      </c>
      <c r="D139" s="35">
        <v>5932.69</v>
      </c>
      <c r="E139" s="35">
        <v>5956.06</v>
      </c>
      <c r="F139" s="36">
        <v>1901686000</v>
      </c>
    </row>
    <row r="140" spans="1:6" x14ac:dyDescent="0.25">
      <c r="A140" s="28">
        <v>45835</v>
      </c>
      <c r="B140" s="35">
        <v>5982.73</v>
      </c>
      <c r="C140" s="35">
        <v>5992.65</v>
      </c>
      <c r="D140" s="35">
        <v>5908.49</v>
      </c>
      <c r="E140" s="35">
        <v>5955.25</v>
      </c>
      <c r="F140" s="36">
        <v>3688898000</v>
      </c>
    </row>
    <row r="141" spans="1:6" x14ac:dyDescent="0.25">
      <c r="A141" s="28">
        <v>45834</v>
      </c>
      <c r="B141" s="35">
        <v>6026.69</v>
      </c>
      <c r="C141" s="35">
        <v>6043.65</v>
      </c>
      <c r="D141" s="35">
        <v>5977.83</v>
      </c>
      <c r="E141" s="35">
        <v>5983.25</v>
      </c>
      <c r="F141" s="36">
        <v>3139128000</v>
      </c>
    </row>
    <row r="142" spans="1:6" x14ac:dyDescent="0.25">
      <c r="A142" s="28">
        <v>45831</v>
      </c>
      <c r="B142" s="35">
        <v>6114.1</v>
      </c>
      <c r="C142" s="35">
        <v>6114.82</v>
      </c>
      <c r="D142" s="35">
        <v>6008.56</v>
      </c>
      <c r="E142" s="35">
        <v>6013.13</v>
      </c>
      <c r="F142" s="36">
        <v>3875961000</v>
      </c>
    </row>
    <row r="143" spans="1:6" x14ac:dyDescent="0.25">
      <c r="A143" s="28">
        <v>45830</v>
      </c>
      <c r="B143" s="35">
        <v>6134.5</v>
      </c>
      <c r="C143" s="35">
        <v>6134.5</v>
      </c>
      <c r="D143" s="35">
        <v>6084.59</v>
      </c>
      <c r="E143" s="35">
        <v>6117.52</v>
      </c>
      <c r="F143" s="36">
        <v>4365386000</v>
      </c>
    </row>
    <row r="144" spans="1:6" x14ac:dyDescent="0.25">
      <c r="A144" s="28">
        <v>45829</v>
      </c>
      <c r="B144" s="35">
        <v>6117.76</v>
      </c>
      <c r="C144" s="35">
        <v>6147.43</v>
      </c>
      <c r="D144" s="35">
        <v>6111.15</v>
      </c>
      <c r="E144" s="35">
        <v>6144.15</v>
      </c>
      <c r="F144" s="36">
        <v>3723567000</v>
      </c>
    </row>
    <row r="145" spans="1:6" x14ac:dyDescent="0.25">
      <c r="A145" s="28">
        <v>45828</v>
      </c>
      <c r="B145" s="35">
        <v>6121.6</v>
      </c>
      <c r="C145" s="35">
        <v>6129.63</v>
      </c>
      <c r="D145" s="35">
        <v>6099.51</v>
      </c>
      <c r="E145" s="35">
        <v>6129.58</v>
      </c>
      <c r="F145" s="36">
        <v>2518024000</v>
      </c>
    </row>
    <row r="146" spans="1:6" x14ac:dyDescent="0.25">
      <c r="A146" s="28">
        <v>45824</v>
      </c>
      <c r="B146" s="35">
        <v>6115.52</v>
      </c>
      <c r="C146" s="35">
        <v>6127.47</v>
      </c>
      <c r="D146" s="35">
        <v>6107.62</v>
      </c>
      <c r="E146" s="35">
        <v>6114.63</v>
      </c>
      <c r="F146" s="36">
        <v>4028988000</v>
      </c>
    </row>
    <row r="147" spans="1:6" x14ac:dyDescent="0.25">
      <c r="A147" s="28">
        <v>45823</v>
      </c>
      <c r="B147" s="35">
        <v>6060.59</v>
      </c>
      <c r="C147" s="35">
        <v>6116.91</v>
      </c>
      <c r="D147" s="35">
        <v>6050.95</v>
      </c>
      <c r="E147" s="35">
        <v>6115.07</v>
      </c>
      <c r="F147" s="36">
        <v>4614989000</v>
      </c>
    </row>
    <row r="148" spans="1:6" x14ac:dyDescent="0.25">
      <c r="A148" s="28">
        <v>45822</v>
      </c>
      <c r="B148" s="35">
        <v>6025.08</v>
      </c>
      <c r="C148" s="35">
        <v>6063</v>
      </c>
      <c r="D148" s="35">
        <v>6003</v>
      </c>
      <c r="E148" s="35">
        <v>6051.97</v>
      </c>
      <c r="F148" s="36">
        <v>2376102000</v>
      </c>
    </row>
    <row r="149" spans="1:6" x14ac:dyDescent="0.25">
      <c r="A149" s="28">
        <v>45821</v>
      </c>
      <c r="B149" s="35">
        <v>6049.32</v>
      </c>
      <c r="C149" s="35">
        <v>6076.28</v>
      </c>
      <c r="D149" s="35">
        <v>6042.34</v>
      </c>
      <c r="E149" s="35">
        <v>6068.5</v>
      </c>
      <c r="F149" s="36">
        <v>4639073000</v>
      </c>
    </row>
    <row r="150" spans="1:6" x14ac:dyDescent="0.25">
      <c r="A150" s="28">
        <v>45820</v>
      </c>
      <c r="B150" s="35">
        <v>6046.4</v>
      </c>
      <c r="C150" s="35">
        <v>6073.38</v>
      </c>
      <c r="D150" s="35">
        <v>6044.84</v>
      </c>
      <c r="E150" s="35">
        <v>6066.44</v>
      </c>
      <c r="F150" s="36">
        <v>4649334000</v>
      </c>
    </row>
    <row r="151" spans="1:6" x14ac:dyDescent="0.25">
      <c r="A151" s="28">
        <v>45817</v>
      </c>
      <c r="B151" s="35">
        <v>6083.13</v>
      </c>
      <c r="C151" s="35">
        <v>6101.28</v>
      </c>
      <c r="D151" s="35">
        <v>6019.96</v>
      </c>
      <c r="E151" s="35">
        <v>6025.99</v>
      </c>
      <c r="F151" s="36">
        <v>4709622000</v>
      </c>
    </row>
    <row r="152" spans="1:6" x14ac:dyDescent="0.25">
      <c r="A152" s="28">
        <v>45816</v>
      </c>
      <c r="B152" s="35">
        <v>6072.22</v>
      </c>
      <c r="C152" s="35">
        <v>6084.03</v>
      </c>
      <c r="D152" s="35">
        <v>6046.83</v>
      </c>
      <c r="E152" s="35">
        <v>6083.57</v>
      </c>
      <c r="F152" s="36">
        <v>2199526000</v>
      </c>
    </row>
    <row r="153" spans="1:6" x14ac:dyDescent="0.25">
      <c r="A153" s="28">
        <v>45815</v>
      </c>
      <c r="B153" s="35">
        <v>6020.45</v>
      </c>
      <c r="C153" s="35">
        <v>6062.86</v>
      </c>
      <c r="D153" s="35">
        <v>6007.06</v>
      </c>
      <c r="E153" s="35">
        <v>6061.48</v>
      </c>
      <c r="F153" s="36">
        <v>3473171000</v>
      </c>
    </row>
    <row r="154" spans="1:6" x14ac:dyDescent="0.25">
      <c r="A154" s="28">
        <v>45814</v>
      </c>
      <c r="B154" s="35">
        <v>5998.14</v>
      </c>
      <c r="C154" s="35">
        <v>6042.48</v>
      </c>
      <c r="D154" s="35">
        <v>5990.87</v>
      </c>
      <c r="E154" s="35">
        <v>6037.88</v>
      </c>
      <c r="F154" s="36">
        <v>3171002000</v>
      </c>
    </row>
    <row r="155" spans="1:6" x14ac:dyDescent="0.25">
      <c r="A155" s="28">
        <v>45813</v>
      </c>
      <c r="B155" s="35">
        <v>5969.65</v>
      </c>
      <c r="C155" s="35">
        <v>6022.13</v>
      </c>
      <c r="D155" s="35">
        <v>5923.93</v>
      </c>
      <c r="E155" s="35">
        <v>5994.57</v>
      </c>
      <c r="F155" s="36">
        <v>2325663000</v>
      </c>
    </row>
    <row r="156" spans="1:6" x14ac:dyDescent="0.25">
      <c r="A156" s="28">
        <v>45810</v>
      </c>
      <c r="B156" s="35">
        <v>6096.79</v>
      </c>
      <c r="C156" s="35">
        <v>6120.91</v>
      </c>
      <c r="D156" s="35">
        <v>6030.93</v>
      </c>
      <c r="E156" s="35">
        <v>6040.53</v>
      </c>
      <c r="F156" s="36">
        <v>2448154000</v>
      </c>
    </row>
    <row r="157" spans="1:6" x14ac:dyDescent="0.25">
      <c r="A157" s="28">
        <v>45809</v>
      </c>
      <c r="B157" s="35">
        <v>6050.75</v>
      </c>
      <c r="C157" s="35">
        <v>6086.64</v>
      </c>
      <c r="D157" s="35">
        <v>6027.46</v>
      </c>
      <c r="E157" s="35">
        <v>6071.17</v>
      </c>
      <c r="F157" s="36">
        <v>2947466000</v>
      </c>
    </row>
    <row r="158" spans="1:6" x14ac:dyDescent="0.25">
      <c r="A158" s="28">
        <v>45808</v>
      </c>
      <c r="B158" s="35">
        <v>6057.7</v>
      </c>
      <c r="C158" s="35">
        <v>6062.83</v>
      </c>
      <c r="D158" s="35">
        <v>6012.96</v>
      </c>
      <c r="E158" s="35">
        <v>6039.31</v>
      </c>
      <c r="F158" s="36">
        <v>2464993000</v>
      </c>
    </row>
    <row r="159" spans="1:6" x14ac:dyDescent="0.25">
      <c r="A159" s="28">
        <v>45807</v>
      </c>
      <c r="B159" s="35">
        <v>6026.97</v>
      </c>
      <c r="C159" s="35">
        <v>6074.54</v>
      </c>
      <c r="D159" s="35">
        <v>5994.63</v>
      </c>
      <c r="E159" s="35">
        <v>6067.7</v>
      </c>
      <c r="F159" s="36">
        <v>4682046000</v>
      </c>
    </row>
    <row r="160" spans="1:6" x14ac:dyDescent="0.25">
      <c r="A160" s="28">
        <v>45806</v>
      </c>
      <c r="B160" s="35">
        <v>5969.04</v>
      </c>
      <c r="C160" s="35">
        <v>6017.17</v>
      </c>
      <c r="D160" s="35">
        <v>5962.92</v>
      </c>
      <c r="E160" s="35">
        <v>6012.28</v>
      </c>
      <c r="F160" s="36">
        <v>4626115000</v>
      </c>
    </row>
    <row r="161" spans="1:6" x14ac:dyDescent="0.25">
      <c r="A161" s="28">
        <v>45803</v>
      </c>
      <c r="B161" s="35">
        <v>6121.43</v>
      </c>
      <c r="C161" s="35">
        <v>6128.18</v>
      </c>
      <c r="D161" s="35">
        <v>6088.74</v>
      </c>
      <c r="E161" s="35">
        <v>6101.24</v>
      </c>
      <c r="F161" s="36">
        <v>2952421000</v>
      </c>
    </row>
    <row r="162" spans="1:6" x14ac:dyDescent="0.25">
      <c r="A162" s="28">
        <v>45802</v>
      </c>
      <c r="B162" s="35">
        <v>6076.32</v>
      </c>
      <c r="C162" s="35">
        <v>6118.73</v>
      </c>
      <c r="D162" s="35">
        <v>6074.67</v>
      </c>
      <c r="E162" s="35">
        <v>6118.71</v>
      </c>
      <c r="F162" s="36">
        <v>2156018000</v>
      </c>
    </row>
    <row r="163" spans="1:6" x14ac:dyDescent="0.25">
      <c r="A163" s="28">
        <v>45801</v>
      </c>
      <c r="B163" s="35">
        <v>6081.39</v>
      </c>
      <c r="C163" s="35">
        <v>6100.81</v>
      </c>
      <c r="D163" s="35">
        <v>6076.13</v>
      </c>
      <c r="E163" s="35">
        <v>6086.37</v>
      </c>
      <c r="F163" s="36">
        <v>2828099000</v>
      </c>
    </row>
    <row r="164" spans="1:6" x14ac:dyDescent="0.25">
      <c r="A164" s="28">
        <v>45800</v>
      </c>
      <c r="B164" s="35">
        <v>6014.12</v>
      </c>
      <c r="C164" s="35">
        <v>6051.51</v>
      </c>
      <c r="D164" s="35">
        <v>6006.88</v>
      </c>
      <c r="E164" s="35">
        <v>6049.24</v>
      </c>
      <c r="F164" s="36">
        <v>3456027000</v>
      </c>
    </row>
    <row r="165" spans="1:6" x14ac:dyDescent="0.25">
      <c r="A165" s="28">
        <v>45796</v>
      </c>
      <c r="B165" s="35">
        <v>5995.4</v>
      </c>
      <c r="C165" s="35">
        <v>6014.96</v>
      </c>
      <c r="D165" s="35">
        <v>5978.44</v>
      </c>
      <c r="E165" s="35">
        <v>5996.66</v>
      </c>
      <c r="F165" s="36">
        <v>1919296000</v>
      </c>
    </row>
    <row r="166" spans="1:6" x14ac:dyDescent="0.25">
      <c r="A166" s="28">
        <v>45795</v>
      </c>
      <c r="B166" s="35">
        <v>5963.61</v>
      </c>
      <c r="C166" s="35">
        <v>5964.69</v>
      </c>
      <c r="D166" s="35">
        <v>5930.72</v>
      </c>
      <c r="E166" s="35">
        <v>5937.34</v>
      </c>
      <c r="F166" s="36">
        <v>2531015000</v>
      </c>
    </row>
    <row r="167" spans="1:6" x14ac:dyDescent="0.25">
      <c r="A167" s="28">
        <v>45794</v>
      </c>
      <c r="B167" s="35">
        <v>5905.21</v>
      </c>
      <c r="C167" s="35">
        <v>5960.61</v>
      </c>
      <c r="D167" s="35">
        <v>5905.21</v>
      </c>
      <c r="E167" s="35">
        <v>5949.91</v>
      </c>
      <c r="F167" s="36">
        <v>4205314000</v>
      </c>
    </row>
    <row r="168" spans="1:6" x14ac:dyDescent="0.25">
      <c r="A168" s="28">
        <v>45793</v>
      </c>
      <c r="B168" s="35">
        <v>5859.27</v>
      </c>
      <c r="C168" s="35">
        <v>5871.92</v>
      </c>
      <c r="D168" s="35">
        <v>5805.42</v>
      </c>
      <c r="E168" s="35">
        <v>5842.91</v>
      </c>
      <c r="F168" s="36">
        <v>3483846000</v>
      </c>
    </row>
    <row r="169" spans="1:6" x14ac:dyDescent="0.25">
      <c r="A169" s="28">
        <v>45792</v>
      </c>
      <c r="B169" s="35">
        <v>5782.02</v>
      </c>
      <c r="C169" s="35">
        <v>5838.61</v>
      </c>
      <c r="D169" s="35">
        <v>5773.31</v>
      </c>
      <c r="E169" s="35">
        <v>5836.22</v>
      </c>
      <c r="F169" s="36">
        <v>4752755000</v>
      </c>
    </row>
    <row r="170" spans="1:6" x14ac:dyDescent="0.25">
      <c r="A170" s="28">
        <v>45789</v>
      </c>
      <c r="B170" s="35">
        <v>5890.35</v>
      </c>
      <c r="C170" s="35">
        <v>5890.35</v>
      </c>
      <c r="D170" s="35">
        <v>5807.78</v>
      </c>
      <c r="E170" s="35">
        <v>5827.04</v>
      </c>
      <c r="F170" s="36">
        <v>4745292000</v>
      </c>
    </row>
    <row r="171" spans="1:6" x14ac:dyDescent="0.25">
      <c r="A171" s="28">
        <v>45787</v>
      </c>
      <c r="B171" s="35">
        <v>5910.66</v>
      </c>
      <c r="C171" s="35">
        <v>5927.89</v>
      </c>
      <c r="D171" s="35">
        <v>5874.78</v>
      </c>
      <c r="E171" s="35">
        <v>5918.25</v>
      </c>
      <c r="F171" s="36">
        <v>1955509000</v>
      </c>
    </row>
    <row r="172" spans="1:6" x14ac:dyDescent="0.25">
      <c r="A172" s="28">
        <v>45786</v>
      </c>
      <c r="B172" s="35">
        <v>5993.26</v>
      </c>
      <c r="C172" s="35">
        <v>6000.68</v>
      </c>
      <c r="D172" s="35">
        <v>5890.68</v>
      </c>
      <c r="E172" s="35">
        <v>5909.03</v>
      </c>
      <c r="F172" s="36">
        <v>3827567000</v>
      </c>
    </row>
    <row r="173" spans="1:6" x14ac:dyDescent="0.25">
      <c r="A173" s="28">
        <v>45785</v>
      </c>
      <c r="B173" s="35">
        <v>5982.81</v>
      </c>
      <c r="C173" s="35">
        <v>6021.04</v>
      </c>
      <c r="D173" s="35">
        <v>5960.01</v>
      </c>
      <c r="E173" s="35">
        <v>5975.38</v>
      </c>
      <c r="F173" s="36">
        <v>3868563000</v>
      </c>
    </row>
    <row r="174" spans="1:6" x14ac:dyDescent="0.25">
      <c r="A174" s="28">
        <v>45782</v>
      </c>
      <c r="B174" s="35">
        <v>5891.07</v>
      </c>
      <c r="C174" s="35">
        <v>5949.34</v>
      </c>
      <c r="D174" s="35">
        <v>5888.66</v>
      </c>
      <c r="E174" s="35">
        <v>5942.47</v>
      </c>
      <c r="F174" s="36">
        <v>3751425000</v>
      </c>
    </row>
    <row r="175" spans="1:6" x14ac:dyDescent="0.25">
      <c r="A175" s="28">
        <v>45781</v>
      </c>
      <c r="B175" s="35">
        <v>5903.26</v>
      </c>
      <c r="C175" s="35">
        <v>5935.09</v>
      </c>
      <c r="D175" s="35">
        <v>5829.53</v>
      </c>
      <c r="E175" s="35">
        <v>5868.55</v>
      </c>
      <c r="F175" s="36">
        <v>3301691000</v>
      </c>
    </row>
    <row r="176" spans="1:6" x14ac:dyDescent="0.25">
      <c r="A176" s="28">
        <v>45779</v>
      </c>
      <c r="B176" s="35">
        <v>5919.74</v>
      </c>
      <c r="C176" s="35">
        <v>5929.74</v>
      </c>
      <c r="D176" s="35">
        <v>5868.86</v>
      </c>
      <c r="E176" s="35">
        <v>5881.63</v>
      </c>
      <c r="F176" s="36">
        <v>3245008000</v>
      </c>
    </row>
    <row r="177" spans="1:6" x14ac:dyDescent="0.25">
      <c r="A177" s="28">
        <v>45778</v>
      </c>
      <c r="B177" s="35">
        <v>5920.67</v>
      </c>
      <c r="C177" s="35">
        <v>5940.79</v>
      </c>
      <c r="D177" s="35">
        <v>5869.16</v>
      </c>
      <c r="E177" s="35">
        <v>5906.94</v>
      </c>
      <c r="F177" s="36">
        <v>4228715000</v>
      </c>
    </row>
    <row r="178" spans="1:6" x14ac:dyDescent="0.25">
      <c r="A178" s="28">
        <v>45775</v>
      </c>
      <c r="B178" s="35">
        <v>6006.17</v>
      </c>
      <c r="C178" s="35">
        <v>6006.17</v>
      </c>
      <c r="D178" s="35">
        <v>5932.95</v>
      </c>
      <c r="E178" s="35">
        <v>5970.84</v>
      </c>
      <c r="F178" s="36">
        <v>1832433000</v>
      </c>
    </row>
    <row r="179" spans="1:6" x14ac:dyDescent="0.25">
      <c r="A179" s="28">
        <v>45774</v>
      </c>
      <c r="B179" s="35">
        <v>6024.97</v>
      </c>
      <c r="C179" s="35">
        <v>6049.75</v>
      </c>
      <c r="D179" s="35">
        <v>6007.37</v>
      </c>
      <c r="E179" s="35">
        <v>6037.59</v>
      </c>
      <c r="F179" s="36">
        <v>4465863000</v>
      </c>
    </row>
    <row r="180" spans="1:6" x14ac:dyDescent="0.25">
      <c r="A180" s="28">
        <v>45772</v>
      </c>
      <c r="B180" s="35">
        <v>5984.63</v>
      </c>
      <c r="C180" s="35">
        <v>6040.1</v>
      </c>
      <c r="D180" s="35">
        <v>5981.44</v>
      </c>
      <c r="E180" s="35">
        <v>6040.04</v>
      </c>
      <c r="F180" s="36">
        <v>4384475000</v>
      </c>
    </row>
    <row r="181" spans="1:6" x14ac:dyDescent="0.25">
      <c r="A181" s="28">
        <v>45771</v>
      </c>
      <c r="B181" s="35">
        <v>5940.25</v>
      </c>
      <c r="C181" s="35">
        <v>5978.25</v>
      </c>
      <c r="D181" s="35">
        <v>5902.57</v>
      </c>
      <c r="E181" s="35">
        <v>5974.07</v>
      </c>
      <c r="F181" s="36">
        <v>2804456000</v>
      </c>
    </row>
    <row r="182" spans="1:6" x14ac:dyDescent="0.25">
      <c r="A182" s="28">
        <v>45768</v>
      </c>
      <c r="B182" s="35">
        <v>5842</v>
      </c>
      <c r="C182" s="35">
        <v>5982.06</v>
      </c>
      <c r="D182" s="35">
        <v>5832.3</v>
      </c>
      <c r="E182" s="35">
        <v>5930.85</v>
      </c>
      <c r="F182" s="36">
        <v>2462579000</v>
      </c>
    </row>
    <row r="183" spans="1:6" x14ac:dyDescent="0.25">
      <c r="A183" s="28">
        <v>45767</v>
      </c>
      <c r="B183" s="35">
        <v>5912.71</v>
      </c>
      <c r="C183" s="35">
        <v>5935.52</v>
      </c>
      <c r="D183" s="35">
        <v>5866.07</v>
      </c>
      <c r="E183" s="35">
        <v>5867.08</v>
      </c>
      <c r="F183" s="36">
        <v>3513875000</v>
      </c>
    </row>
    <row r="184" spans="1:6" x14ac:dyDescent="0.25">
      <c r="A184" s="28">
        <v>45766</v>
      </c>
      <c r="B184" s="35">
        <v>6047.65</v>
      </c>
      <c r="C184" s="35">
        <v>6070.67</v>
      </c>
      <c r="D184" s="35">
        <v>5867.79</v>
      </c>
      <c r="E184" s="35">
        <v>5872.16</v>
      </c>
      <c r="F184" s="36">
        <v>3364290000</v>
      </c>
    </row>
    <row r="185" spans="1:6" x14ac:dyDescent="0.25">
      <c r="A185" s="28">
        <v>45765</v>
      </c>
      <c r="B185" s="35">
        <v>6052.55</v>
      </c>
      <c r="C185" s="35">
        <v>6057.68</v>
      </c>
      <c r="D185" s="35">
        <v>6035.19</v>
      </c>
      <c r="E185" s="35">
        <v>6050.61</v>
      </c>
      <c r="F185" s="36">
        <v>2997706000</v>
      </c>
    </row>
    <row r="186" spans="1:6" x14ac:dyDescent="0.25">
      <c r="A186" s="28">
        <v>45764</v>
      </c>
      <c r="B186" s="35">
        <v>6063.79</v>
      </c>
      <c r="C186" s="35">
        <v>6085.19</v>
      </c>
      <c r="D186" s="35">
        <v>6059.14</v>
      </c>
      <c r="E186" s="35">
        <v>6074.08</v>
      </c>
      <c r="F186" s="36">
        <v>2118034000</v>
      </c>
    </row>
    <row r="187" spans="1:6" x14ac:dyDescent="0.25">
      <c r="A187" s="28">
        <v>45761</v>
      </c>
      <c r="B187" s="35">
        <v>6068.17</v>
      </c>
      <c r="C187" s="35">
        <v>6078.58</v>
      </c>
      <c r="D187" s="35">
        <v>6035.77</v>
      </c>
      <c r="E187" s="35">
        <v>6051.09</v>
      </c>
      <c r="F187" s="36">
        <v>2303657000</v>
      </c>
    </row>
    <row r="188" spans="1:6" x14ac:dyDescent="0.25">
      <c r="A188" s="28">
        <v>45760</v>
      </c>
      <c r="B188" s="35">
        <v>6074.29</v>
      </c>
      <c r="C188" s="35">
        <v>6079.68</v>
      </c>
      <c r="D188" s="35">
        <v>6051.25</v>
      </c>
      <c r="E188" s="35">
        <v>6051.25</v>
      </c>
      <c r="F188" s="36">
        <v>3293190000</v>
      </c>
    </row>
    <row r="189" spans="1:6" x14ac:dyDescent="0.25">
      <c r="A189" s="28">
        <v>45759</v>
      </c>
      <c r="B189" s="35">
        <v>6060.15</v>
      </c>
      <c r="C189" s="35">
        <v>6092.59</v>
      </c>
      <c r="D189" s="35">
        <v>6060.15</v>
      </c>
      <c r="E189" s="35">
        <v>6084.19</v>
      </c>
      <c r="F189" s="36">
        <v>2561853000</v>
      </c>
    </row>
    <row r="190" spans="1:6" x14ac:dyDescent="0.25">
      <c r="A190" s="28">
        <v>45758</v>
      </c>
      <c r="B190" s="35">
        <v>6057.59</v>
      </c>
      <c r="C190" s="35">
        <v>6065.4</v>
      </c>
      <c r="D190" s="35">
        <v>6029.89</v>
      </c>
      <c r="E190" s="35">
        <v>6034.91</v>
      </c>
      <c r="F190" s="36">
        <v>2658364000</v>
      </c>
    </row>
    <row r="191" spans="1:6" x14ac:dyDescent="0.25">
      <c r="A191" s="28">
        <v>45757</v>
      </c>
      <c r="B191" s="35">
        <v>6083.01</v>
      </c>
      <c r="C191" s="35">
        <v>6088.51</v>
      </c>
      <c r="D191" s="35">
        <v>6048.63</v>
      </c>
      <c r="E191" s="35">
        <v>6052.85</v>
      </c>
      <c r="F191" s="36">
        <v>2144399000</v>
      </c>
    </row>
    <row r="192" spans="1:6" x14ac:dyDescent="0.25">
      <c r="A192" s="28">
        <v>45754</v>
      </c>
      <c r="B192" s="35">
        <v>6081.38</v>
      </c>
      <c r="C192" s="35">
        <v>6099.97</v>
      </c>
      <c r="D192" s="35">
        <v>6079.98</v>
      </c>
      <c r="E192" s="35">
        <v>6090.27</v>
      </c>
      <c r="F192" s="36">
        <v>4217442000</v>
      </c>
    </row>
    <row r="193" spans="1:6" x14ac:dyDescent="0.25">
      <c r="A193" s="28">
        <v>45753</v>
      </c>
      <c r="B193" s="35">
        <v>6089.03</v>
      </c>
      <c r="C193" s="35">
        <v>6094.55</v>
      </c>
      <c r="D193" s="35">
        <v>6072.9</v>
      </c>
      <c r="E193" s="35">
        <v>6075.11</v>
      </c>
      <c r="F193" s="36">
        <v>3782717000</v>
      </c>
    </row>
    <row r="194" spans="1:6" x14ac:dyDescent="0.25">
      <c r="A194" s="28">
        <v>45752</v>
      </c>
      <c r="B194" s="35">
        <v>6069.39</v>
      </c>
      <c r="C194" s="35">
        <v>6089.84</v>
      </c>
      <c r="D194" s="35">
        <v>6061.06</v>
      </c>
      <c r="E194" s="35">
        <v>6086.49</v>
      </c>
      <c r="F194" s="36">
        <v>2616980000</v>
      </c>
    </row>
    <row r="195" spans="1:6" x14ac:dyDescent="0.25">
      <c r="A195" s="28">
        <v>45751</v>
      </c>
      <c r="B195" s="35">
        <v>6042.97</v>
      </c>
      <c r="C195" s="35">
        <v>6052.07</v>
      </c>
      <c r="D195" s="35">
        <v>6033.39</v>
      </c>
      <c r="E195" s="35">
        <v>6049.88</v>
      </c>
      <c r="F195" s="36">
        <v>4661544000</v>
      </c>
    </row>
    <row r="196" spans="1:6" x14ac:dyDescent="0.25">
      <c r="A196" s="28">
        <v>45750</v>
      </c>
      <c r="B196" s="35">
        <v>6040.11</v>
      </c>
      <c r="C196" s="35">
        <v>6053.58</v>
      </c>
      <c r="D196" s="35">
        <v>6035.33</v>
      </c>
      <c r="E196" s="35">
        <v>6047.15</v>
      </c>
      <c r="F196" s="36">
        <v>2634655000</v>
      </c>
    </row>
    <row r="197" spans="1:6" x14ac:dyDescent="0.25">
      <c r="A197" s="28">
        <v>45747</v>
      </c>
      <c r="B197" s="35">
        <v>6003.98</v>
      </c>
      <c r="C197" s="35">
        <v>6044.17</v>
      </c>
      <c r="D197" s="35">
        <v>6003.98</v>
      </c>
      <c r="E197" s="35">
        <v>6032.38</v>
      </c>
      <c r="F197" s="36">
        <v>2591667000</v>
      </c>
    </row>
    <row r="198" spans="1:6" x14ac:dyDescent="0.25">
      <c r="A198" s="28">
        <v>45745</v>
      </c>
      <c r="B198" s="35">
        <v>6014.11</v>
      </c>
      <c r="C198" s="35">
        <v>6020.16</v>
      </c>
      <c r="D198" s="35">
        <v>5984.87</v>
      </c>
      <c r="E198" s="35">
        <v>5998.74</v>
      </c>
      <c r="F198" s="36">
        <v>1902935000</v>
      </c>
    </row>
    <row r="199" spans="1:6" x14ac:dyDescent="0.25">
      <c r="A199" s="28">
        <v>45744</v>
      </c>
      <c r="B199" s="35">
        <v>6000.03</v>
      </c>
      <c r="C199" s="35">
        <v>6025.42</v>
      </c>
      <c r="D199" s="35">
        <v>5992.27</v>
      </c>
      <c r="E199" s="35">
        <v>6021.63</v>
      </c>
      <c r="F199" s="36">
        <v>2620924000</v>
      </c>
    </row>
    <row r="200" spans="1:6" x14ac:dyDescent="0.25">
      <c r="A200" s="28">
        <v>45743</v>
      </c>
      <c r="B200" s="35">
        <v>5992.28</v>
      </c>
      <c r="C200" s="35">
        <v>6020.75</v>
      </c>
      <c r="D200" s="35">
        <v>5963.91</v>
      </c>
      <c r="E200" s="35">
        <v>5987.37</v>
      </c>
      <c r="F200" s="36">
        <v>2602096000</v>
      </c>
    </row>
    <row r="201" spans="1:6" x14ac:dyDescent="0.25">
      <c r="A201" s="28">
        <v>45740</v>
      </c>
      <c r="B201" s="35">
        <v>5944.36</v>
      </c>
      <c r="C201" s="35">
        <v>5972.9</v>
      </c>
      <c r="D201" s="35">
        <v>5944.36</v>
      </c>
      <c r="E201" s="35">
        <v>5969.34</v>
      </c>
      <c r="F201" s="36">
        <v>3147955000</v>
      </c>
    </row>
    <row r="202" spans="1:6" x14ac:dyDescent="0.25">
      <c r="A202" s="28">
        <v>45739</v>
      </c>
      <c r="B202" s="35">
        <v>5940.58</v>
      </c>
      <c r="C202" s="35">
        <v>5963.32</v>
      </c>
      <c r="D202" s="35">
        <v>5887.26</v>
      </c>
      <c r="E202" s="35">
        <v>5948.71</v>
      </c>
      <c r="F202" s="36">
        <v>2859348000</v>
      </c>
    </row>
    <row r="203" spans="1:6" x14ac:dyDescent="0.25">
      <c r="A203" s="28">
        <v>45738</v>
      </c>
      <c r="B203" s="35">
        <v>5914.34</v>
      </c>
      <c r="C203" s="35">
        <v>5920.67</v>
      </c>
      <c r="D203" s="35">
        <v>5860.56</v>
      </c>
      <c r="E203" s="35">
        <v>5917.11</v>
      </c>
      <c r="F203" s="36">
        <v>2371302000</v>
      </c>
    </row>
    <row r="204" spans="1:6" x14ac:dyDescent="0.25">
      <c r="A204" s="28">
        <v>45737</v>
      </c>
      <c r="B204" s="35">
        <v>5870.05</v>
      </c>
      <c r="C204" s="35">
        <v>5923.51</v>
      </c>
      <c r="D204" s="35">
        <v>5855.29</v>
      </c>
      <c r="E204" s="35">
        <v>5916.98</v>
      </c>
      <c r="F204" s="36">
        <v>3534311000</v>
      </c>
    </row>
    <row r="205" spans="1:6" x14ac:dyDescent="0.25">
      <c r="A205" s="28">
        <v>45736</v>
      </c>
      <c r="B205" s="35">
        <v>5874.17</v>
      </c>
      <c r="C205" s="35">
        <v>5908.12</v>
      </c>
      <c r="D205" s="35">
        <v>5865.95</v>
      </c>
      <c r="E205" s="35">
        <v>5893.62</v>
      </c>
      <c r="F205" s="36">
        <v>2034992000</v>
      </c>
    </row>
    <row r="206" spans="1:6" x14ac:dyDescent="0.25">
      <c r="A206" s="28">
        <v>45733</v>
      </c>
      <c r="B206" s="35">
        <v>5912.79</v>
      </c>
      <c r="C206" s="35">
        <v>5915.32</v>
      </c>
      <c r="D206" s="35">
        <v>5853.01</v>
      </c>
      <c r="E206" s="35">
        <v>5870.62</v>
      </c>
      <c r="F206" s="36">
        <v>3377706000</v>
      </c>
    </row>
    <row r="207" spans="1:6" x14ac:dyDescent="0.25">
      <c r="A207" s="28">
        <v>45732</v>
      </c>
      <c r="B207" s="35">
        <v>5989.68</v>
      </c>
      <c r="C207" s="35">
        <v>5993.88</v>
      </c>
      <c r="D207" s="35">
        <v>5942.28</v>
      </c>
      <c r="E207" s="35">
        <v>5949.17</v>
      </c>
      <c r="F207" s="36">
        <v>2264075000</v>
      </c>
    </row>
    <row r="208" spans="1:6" x14ac:dyDescent="0.25">
      <c r="A208" s="28">
        <v>45731</v>
      </c>
      <c r="B208" s="35">
        <v>5985.75</v>
      </c>
      <c r="C208" s="35">
        <v>6008.19</v>
      </c>
      <c r="D208" s="35">
        <v>5965.91</v>
      </c>
      <c r="E208" s="35">
        <v>5985.38</v>
      </c>
      <c r="F208" s="36">
        <v>4219647000</v>
      </c>
    </row>
    <row r="209" spans="1:6" x14ac:dyDescent="0.25">
      <c r="A209" s="28">
        <v>45730</v>
      </c>
      <c r="B209" s="35">
        <v>6003.6</v>
      </c>
      <c r="C209" s="35">
        <v>6009.92</v>
      </c>
      <c r="D209" s="35">
        <v>5960.08</v>
      </c>
      <c r="E209" s="35">
        <v>5983.99</v>
      </c>
      <c r="F209" s="36">
        <v>4589452000</v>
      </c>
    </row>
    <row r="210" spans="1:6" x14ac:dyDescent="0.25">
      <c r="A210" s="28">
        <v>45729</v>
      </c>
      <c r="B210" s="35">
        <v>6008.86</v>
      </c>
      <c r="C210" s="35">
        <v>6017.31</v>
      </c>
      <c r="D210" s="35">
        <v>5986.69</v>
      </c>
      <c r="E210" s="35">
        <v>6001.35</v>
      </c>
      <c r="F210" s="36">
        <v>4074121000</v>
      </c>
    </row>
    <row r="211" spans="1:6" x14ac:dyDescent="0.25">
      <c r="A211" s="28">
        <v>45726</v>
      </c>
      <c r="B211" s="35">
        <v>5976.76</v>
      </c>
      <c r="C211" s="35">
        <v>6012.45</v>
      </c>
      <c r="D211" s="35">
        <v>5976.76</v>
      </c>
      <c r="E211" s="35">
        <v>5995.54</v>
      </c>
      <c r="F211" s="36">
        <v>3980305000</v>
      </c>
    </row>
    <row r="212" spans="1:6" x14ac:dyDescent="0.25">
      <c r="A212" s="28">
        <v>45725</v>
      </c>
      <c r="B212" s="35">
        <v>5947.21</v>
      </c>
      <c r="C212" s="35">
        <v>5983.84</v>
      </c>
      <c r="D212" s="35">
        <v>5947.21</v>
      </c>
      <c r="E212" s="35">
        <v>5973.1</v>
      </c>
      <c r="F212" s="36">
        <v>2932471000</v>
      </c>
    </row>
    <row r="213" spans="1:6" x14ac:dyDescent="0.25">
      <c r="A213" s="28">
        <v>45724</v>
      </c>
      <c r="B213" s="35">
        <v>5864.89</v>
      </c>
      <c r="C213" s="35">
        <v>5936.14</v>
      </c>
      <c r="D213" s="35">
        <v>5864.89</v>
      </c>
      <c r="E213" s="35">
        <v>5929.04</v>
      </c>
      <c r="F213" s="36">
        <v>1920776000</v>
      </c>
    </row>
    <row r="214" spans="1:6" x14ac:dyDescent="0.25">
      <c r="A214" s="28">
        <v>45723</v>
      </c>
      <c r="B214" s="35">
        <v>5722.43</v>
      </c>
      <c r="C214" s="35">
        <v>5783.44</v>
      </c>
      <c r="D214" s="35">
        <v>5722.1</v>
      </c>
      <c r="E214" s="35">
        <v>5782.76</v>
      </c>
      <c r="F214" s="36">
        <v>3001887000</v>
      </c>
    </row>
    <row r="215" spans="1:6" x14ac:dyDescent="0.25">
      <c r="A215" s="28">
        <v>45722</v>
      </c>
      <c r="B215" s="35">
        <v>5725.15</v>
      </c>
      <c r="C215" s="35">
        <v>5741.43</v>
      </c>
      <c r="D215" s="35">
        <v>5696.51</v>
      </c>
      <c r="E215" s="35">
        <v>5712.69</v>
      </c>
      <c r="F215" s="36">
        <v>2312800000</v>
      </c>
    </row>
    <row r="216" spans="1:6" x14ac:dyDescent="0.25">
      <c r="A216" s="28">
        <v>45719</v>
      </c>
      <c r="B216" s="35">
        <v>5723.22</v>
      </c>
      <c r="C216" s="35">
        <v>5772.52</v>
      </c>
      <c r="D216" s="35">
        <v>5723.22</v>
      </c>
      <c r="E216" s="35">
        <v>5728.8</v>
      </c>
      <c r="F216" s="36">
        <v>3016228000</v>
      </c>
    </row>
    <row r="217" spans="1:6" x14ac:dyDescent="0.25">
      <c r="A217" s="28">
        <v>45718</v>
      </c>
      <c r="B217" s="35">
        <v>5775.34</v>
      </c>
      <c r="C217" s="35">
        <v>5775.34</v>
      </c>
      <c r="D217" s="35">
        <v>5702.86</v>
      </c>
      <c r="E217" s="35">
        <v>5705.45</v>
      </c>
      <c r="F217" s="36">
        <v>4497763000</v>
      </c>
    </row>
    <row r="218" spans="1:6" x14ac:dyDescent="0.25">
      <c r="A218" s="28">
        <v>45717</v>
      </c>
      <c r="B218" s="35">
        <v>5832.65</v>
      </c>
      <c r="C218" s="35">
        <v>5850.94</v>
      </c>
      <c r="D218" s="35">
        <v>5811.28</v>
      </c>
      <c r="E218" s="35">
        <v>5813.67</v>
      </c>
      <c r="F218" s="36">
        <v>2943862000</v>
      </c>
    </row>
    <row r="219" spans="1:6" x14ac:dyDescent="0.25">
      <c r="A219" s="28">
        <v>45716</v>
      </c>
      <c r="B219" s="35">
        <v>5819.68</v>
      </c>
      <c r="C219" s="35">
        <v>5847.19</v>
      </c>
      <c r="D219" s="35">
        <v>5802.17</v>
      </c>
      <c r="E219" s="35">
        <v>5832.92</v>
      </c>
      <c r="F219" s="36">
        <v>2233394000</v>
      </c>
    </row>
    <row r="220" spans="1:6" x14ac:dyDescent="0.25">
      <c r="A220" s="28">
        <v>45715</v>
      </c>
      <c r="B220" s="35">
        <v>5833.93</v>
      </c>
      <c r="C220" s="35">
        <v>5842.92</v>
      </c>
      <c r="D220" s="35">
        <v>5823.08</v>
      </c>
      <c r="E220" s="35">
        <v>5823.52</v>
      </c>
      <c r="F220" s="36">
        <v>4371896000</v>
      </c>
    </row>
    <row r="221" spans="1:6" x14ac:dyDescent="0.25">
      <c r="A221" s="28">
        <v>45712</v>
      </c>
      <c r="B221" s="35">
        <v>5826.75</v>
      </c>
      <c r="C221" s="35">
        <v>5862.82</v>
      </c>
      <c r="D221" s="35">
        <v>5799.98</v>
      </c>
      <c r="E221" s="35">
        <v>5808.12</v>
      </c>
      <c r="F221" s="36">
        <v>3399923000</v>
      </c>
    </row>
    <row r="222" spans="1:6" x14ac:dyDescent="0.25">
      <c r="A222" s="28">
        <v>45711</v>
      </c>
      <c r="B222" s="35">
        <v>5817.8</v>
      </c>
      <c r="C222" s="35">
        <v>5817.8</v>
      </c>
      <c r="D222" s="35">
        <v>5784.92</v>
      </c>
      <c r="E222" s="35">
        <v>5809.86</v>
      </c>
      <c r="F222" s="36">
        <v>2016691000</v>
      </c>
    </row>
    <row r="223" spans="1:6" x14ac:dyDescent="0.25">
      <c r="A223" s="28">
        <v>45710</v>
      </c>
      <c r="B223" s="35">
        <v>5834.5</v>
      </c>
      <c r="C223" s="35">
        <v>5834.85</v>
      </c>
      <c r="D223" s="35">
        <v>5762.41</v>
      </c>
      <c r="E223" s="35">
        <v>5797.42</v>
      </c>
      <c r="F223" s="36">
        <v>3752918000</v>
      </c>
    </row>
    <row r="224" spans="1:6" x14ac:dyDescent="0.25">
      <c r="A224" s="28">
        <v>45709</v>
      </c>
      <c r="B224" s="35">
        <v>5832.7</v>
      </c>
      <c r="C224" s="35">
        <v>5863.04</v>
      </c>
      <c r="D224" s="35">
        <v>5821.17</v>
      </c>
      <c r="E224" s="35">
        <v>5851.2</v>
      </c>
      <c r="F224" s="36">
        <v>3722364000</v>
      </c>
    </row>
    <row r="225" spans="1:6" x14ac:dyDescent="0.25">
      <c r="A225" s="28">
        <v>45708</v>
      </c>
      <c r="B225" s="35">
        <v>5857.82</v>
      </c>
      <c r="C225" s="35">
        <v>5866.92</v>
      </c>
      <c r="D225" s="35">
        <v>5824.79</v>
      </c>
      <c r="E225" s="35">
        <v>5853.98</v>
      </c>
      <c r="F225" s="36">
        <v>2839694000</v>
      </c>
    </row>
    <row r="226" spans="1:6" x14ac:dyDescent="0.25">
      <c r="A226" s="28">
        <v>45705</v>
      </c>
      <c r="B226" s="35">
        <v>5859.43</v>
      </c>
      <c r="C226" s="35">
        <v>5872.17</v>
      </c>
      <c r="D226" s="35">
        <v>5846.11</v>
      </c>
      <c r="E226" s="35">
        <v>5864.67</v>
      </c>
      <c r="F226" s="36">
        <v>4476568000</v>
      </c>
    </row>
    <row r="227" spans="1:6" x14ac:dyDescent="0.25">
      <c r="A227" s="28">
        <v>45704</v>
      </c>
      <c r="B227" s="35">
        <v>5875.62</v>
      </c>
      <c r="C227" s="35">
        <v>5878.46</v>
      </c>
      <c r="D227" s="35">
        <v>5840.25</v>
      </c>
      <c r="E227" s="35">
        <v>5841.47</v>
      </c>
      <c r="F227" s="36">
        <v>3101026000</v>
      </c>
    </row>
    <row r="228" spans="1:6" x14ac:dyDescent="0.25">
      <c r="A228" s="28">
        <v>45703</v>
      </c>
      <c r="B228" s="35">
        <v>5816.58</v>
      </c>
      <c r="C228" s="35">
        <v>5846.52</v>
      </c>
      <c r="D228" s="35">
        <v>5808.34</v>
      </c>
      <c r="E228" s="35">
        <v>5842.47</v>
      </c>
      <c r="F228" s="36">
        <v>2303181000</v>
      </c>
    </row>
    <row r="229" spans="1:6" x14ac:dyDescent="0.25">
      <c r="A229" s="28">
        <v>45702</v>
      </c>
      <c r="B229" s="35">
        <v>5866.74</v>
      </c>
      <c r="C229" s="35">
        <v>5870.36</v>
      </c>
      <c r="D229" s="35">
        <v>5804.48</v>
      </c>
      <c r="E229" s="35">
        <v>5815.26</v>
      </c>
      <c r="F229" s="36">
        <v>3280515000</v>
      </c>
    </row>
    <row r="230" spans="1:6" x14ac:dyDescent="0.25">
      <c r="A230" s="28">
        <v>45701</v>
      </c>
      <c r="B230" s="35">
        <v>5829.81</v>
      </c>
      <c r="C230" s="35">
        <v>5871.41</v>
      </c>
      <c r="D230" s="35">
        <v>5829.57</v>
      </c>
      <c r="E230" s="35">
        <v>5859.85</v>
      </c>
      <c r="F230" s="36">
        <v>2725763000</v>
      </c>
    </row>
    <row r="231" spans="1:6" x14ac:dyDescent="0.25">
      <c r="A231" s="28">
        <v>45698</v>
      </c>
      <c r="B231" s="35">
        <v>5775.09</v>
      </c>
      <c r="C231" s="35">
        <v>5822.13</v>
      </c>
      <c r="D231" s="35">
        <v>5775.09</v>
      </c>
      <c r="E231" s="35">
        <v>5815.03</v>
      </c>
      <c r="F231" s="36">
        <v>4487660000</v>
      </c>
    </row>
    <row r="232" spans="1:6" x14ac:dyDescent="0.25">
      <c r="A232" s="28">
        <v>45697</v>
      </c>
      <c r="B232" s="35">
        <v>5778.36</v>
      </c>
      <c r="C232" s="35">
        <v>5795.03</v>
      </c>
      <c r="D232" s="35">
        <v>5764.76</v>
      </c>
      <c r="E232" s="35">
        <v>5780.05</v>
      </c>
      <c r="F232" s="36">
        <v>2415894000</v>
      </c>
    </row>
    <row r="233" spans="1:6" x14ac:dyDescent="0.25">
      <c r="A233" s="28">
        <v>45696</v>
      </c>
      <c r="B233" s="35">
        <v>5751.8</v>
      </c>
      <c r="C233" s="35">
        <v>5796.8</v>
      </c>
      <c r="D233" s="35">
        <v>5745.02</v>
      </c>
      <c r="E233" s="35">
        <v>5792.04</v>
      </c>
      <c r="F233" s="36">
        <v>3525934000</v>
      </c>
    </row>
    <row r="234" spans="1:6" x14ac:dyDescent="0.25">
      <c r="A234" s="28">
        <v>45695</v>
      </c>
      <c r="B234" s="35">
        <v>5719.14</v>
      </c>
      <c r="C234" s="35">
        <v>5757.6</v>
      </c>
      <c r="D234" s="35">
        <v>5714.56</v>
      </c>
      <c r="E234" s="35">
        <v>5751.13</v>
      </c>
      <c r="F234" s="36">
        <v>2507024000</v>
      </c>
    </row>
    <row r="235" spans="1:6" x14ac:dyDescent="0.25">
      <c r="A235" s="28">
        <v>45694</v>
      </c>
      <c r="B235" s="35">
        <v>5737.8</v>
      </c>
      <c r="C235" s="35">
        <v>5739.34</v>
      </c>
      <c r="D235" s="35">
        <v>5686.85</v>
      </c>
      <c r="E235" s="35">
        <v>5695.94</v>
      </c>
      <c r="F235" s="36">
        <v>3507485000</v>
      </c>
    </row>
    <row r="236" spans="1:6" x14ac:dyDescent="0.25">
      <c r="A236" s="28">
        <v>45691</v>
      </c>
      <c r="B236" s="35">
        <v>5737.48</v>
      </c>
      <c r="C236" s="35">
        <v>5753.21</v>
      </c>
      <c r="D236" s="35">
        <v>5702.83</v>
      </c>
      <c r="E236" s="35">
        <v>5751.07</v>
      </c>
      <c r="F236" s="36">
        <v>2172832000</v>
      </c>
    </row>
    <row r="237" spans="1:6" x14ac:dyDescent="0.25">
      <c r="A237" s="28">
        <v>45690</v>
      </c>
      <c r="B237" s="35">
        <v>5698.19</v>
      </c>
      <c r="C237" s="35">
        <v>5718.78</v>
      </c>
      <c r="D237" s="35">
        <v>5677.37</v>
      </c>
      <c r="E237" s="35">
        <v>5699.94</v>
      </c>
      <c r="F237" s="36">
        <v>3732634000</v>
      </c>
    </row>
    <row r="238" spans="1:6" x14ac:dyDescent="0.25">
      <c r="A238" s="28">
        <v>45689</v>
      </c>
      <c r="B238" s="35">
        <v>5698.14</v>
      </c>
      <c r="C238" s="35">
        <v>5719.63</v>
      </c>
      <c r="D238" s="35">
        <v>5674</v>
      </c>
      <c r="E238" s="35">
        <v>5709.54</v>
      </c>
      <c r="F238" s="36">
        <v>2199824000</v>
      </c>
    </row>
    <row r="239" spans="1:6" x14ac:dyDescent="0.25">
      <c r="A239" s="28">
        <v>45688</v>
      </c>
      <c r="B239" s="35">
        <v>5757.73</v>
      </c>
      <c r="C239" s="35">
        <v>5757.73</v>
      </c>
      <c r="D239" s="35">
        <v>5681.28</v>
      </c>
      <c r="E239" s="35">
        <v>5708.75</v>
      </c>
      <c r="F239" s="36">
        <v>2108013000</v>
      </c>
    </row>
    <row r="240" spans="1:6" x14ac:dyDescent="0.25">
      <c r="A240" s="28">
        <v>45687</v>
      </c>
      <c r="B240" s="35">
        <v>5726.52</v>
      </c>
      <c r="C240" s="35">
        <v>5765.14</v>
      </c>
      <c r="D240" s="35">
        <v>5703.53</v>
      </c>
      <c r="E240" s="35">
        <v>5762.48</v>
      </c>
      <c r="F240" s="36">
        <v>3074286000</v>
      </c>
    </row>
    <row r="241" spans="1:6" x14ac:dyDescent="0.25">
      <c r="A241" s="28">
        <v>45684</v>
      </c>
      <c r="B241" s="35">
        <v>5755.36</v>
      </c>
      <c r="C241" s="35">
        <v>5763.78</v>
      </c>
      <c r="D241" s="35">
        <v>5727.34</v>
      </c>
      <c r="E241" s="35">
        <v>5738.17</v>
      </c>
      <c r="F241" s="36">
        <v>2241261000</v>
      </c>
    </row>
    <row r="242" spans="1:6" x14ac:dyDescent="0.25">
      <c r="A242" s="28">
        <v>45683</v>
      </c>
      <c r="B242" s="35">
        <v>5762.22</v>
      </c>
      <c r="C242" s="35">
        <v>5767.37</v>
      </c>
      <c r="D242" s="35">
        <v>5721.01</v>
      </c>
      <c r="E242" s="35">
        <v>5745.37</v>
      </c>
      <c r="F242" s="36">
        <v>2274525000</v>
      </c>
    </row>
    <row r="243" spans="1:6" x14ac:dyDescent="0.25">
      <c r="A243" s="28">
        <v>45682</v>
      </c>
      <c r="B243" s="35">
        <v>5733.65</v>
      </c>
      <c r="C243" s="35">
        <v>5741.03</v>
      </c>
      <c r="D243" s="35">
        <v>5712.06</v>
      </c>
      <c r="E243" s="35">
        <v>5722.26</v>
      </c>
      <c r="F243" s="36">
        <v>2001349000</v>
      </c>
    </row>
    <row r="244" spans="1:6" x14ac:dyDescent="0.25">
      <c r="A244" s="28">
        <v>45681</v>
      </c>
      <c r="B244" s="35">
        <v>5727.66</v>
      </c>
      <c r="C244" s="35">
        <v>5735.32</v>
      </c>
      <c r="D244" s="35">
        <v>5698.99</v>
      </c>
      <c r="E244" s="35">
        <v>5732.93</v>
      </c>
      <c r="F244" s="36">
        <v>2105623000</v>
      </c>
    </row>
    <row r="245" spans="1:6" x14ac:dyDescent="0.25">
      <c r="A245" s="28">
        <v>45680</v>
      </c>
      <c r="B245" s="35">
        <v>5711.9</v>
      </c>
      <c r="C245" s="35">
        <v>5725.36</v>
      </c>
      <c r="D245" s="35">
        <v>5704.22</v>
      </c>
      <c r="E245" s="35">
        <v>5718.57</v>
      </c>
      <c r="F245" s="36">
        <v>2641284000</v>
      </c>
    </row>
    <row r="246" spans="1:6" x14ac:dyDescent="0.25">
      <c r="A246" s="28">
        <v>45677</v>
      </c>
      <c r="B246" s="35">
        <v>5709.64</v>
      </c>
      <c r="C246" s="35">
        <v>5715.14</v>
      </c>
      <c r="D246" s="35">
        <v>5674.49</v>
      </c>
      <c r="E246" s="35">
        <v>5702.55</v>
      </c>
      <c r="F246" s="36">
        <v>2528057000</v>
      </c>
    </row>
    <row r="247" spans="1:6" x14ac:dyDescent="0.25">
      <c r="A247" s="28">
        <v>45676</v>
      </c>
      <c r="B247" s="35">
        <v>5702.63</v>
      </c>
      <c r="C247" s="35">
        <v>5733.57</v>
      </c>
      <c r="D247" s="35">
        <v>5686.42</v>
      </c>
      <c r="E247" s="35">
        <v>5713.64</v>
      </c>
      <c r="F247" s="36">
        <v>3243193000</v>
      </c>
    </row>
    <row r="248" spans="1:6" x14ac:dyDescent="0.25">
      <c r="A248" s="28">
        <v>45675</v>
      </c>
      <c r="B248" s="35">
        <v>5641.68</v>
      </c>
      <c r="C248" s="35">
        <v>5689.75</v>
      </c>
      <c r="D248" s="35">
        <v>5615.08</v>
      </c>
      <c r="E248" s="35">
        <v>5618.26</v>
      </c>
      <c r="F248" s="36">
        <v>3538677000</v>
      </c>
    </row>
    <row r="249" spans="1:6" x14ac:dyDescent="0.25">
      <c r="A249" s="28">
        <v>45674</v>
      </c>
      <c r="B249" s="35">
        <v>5655.51</v>
      </c>
      <c r="C249" s="35">
        <v>5670.81</v>
      </c>
      <c r="D249" s="35">
        <v>5614.05</v>
      </c>
      <c r="E249" s="35">
        <v>5634.58</v>
      </c>
      <c r="F249" s="36">
        <v>2987015000</v>
      </c>
    </row>
    <row r="250" spans="1:6" x14ac:dyDescent="0.25">
      <c r="A250" s="28">
        <v>45673</v>
      </c>
      <c r="B250" s="35">
        <v>5615.21</v>
      </c>
      <c r="C250" s="35">
        <v>5636.05</v>
      </c>
      <c r="D250" s="35">
        <v>5604.53</v>
      </c>
      <c r="E250" s="35">
        <v>5633.09</v>
      </c>
      <c r="F250" s="36">
        <v>2230803000</v>
      </c>
    </row>
    <row r="251" spans="1:6" x14ac:dyDescent="0.25">
      <c r="A251" s="28">
        <v>45670</v>
      </c>
      <c r="B251" s="35">
        <v>5603.34</v>
      </c>
      <c r="C251" s="35">
        <v>5636.27</v>
      </c>
      <c r="D251" s="35">
        <v>5601.65</v>
      </c>
      <c r="E251" s="35">
        <v>5626.02</v>
      </c>
      <c r="F251" s="36">
        <v>3857247000</v>
      </c>
    </row>
    <row r="252" spans="1:6" x14ac:dyDescent="0.25">
      <c r="A252" s="28">
        <v>45669</v>
      </c>
      <c r="B252" s="35">
        <v>5557.48</v>
      </c>
      <c r="C252" s="35">
        <v>5600.71</v>
      </c>
      <c r="D252" s="35">
        <v>5535.5</v>
      </c>
      <c r="E252" s="35">
        <v>5595.76</v>
      </c>
      <c r="F252" s="36">
        <v>3985425000</v>
      </c>
    </row>
    <row r="253" spans="1:6" x14ac:dyDescent="0.25">
      <c r="A253" s="28">
        <v>45668</v>
      </c>
      <c r="B253" s="35">
        <v>5496.42</v>
      </c>
      <c r="C253" s="35">
        <v>5560.41</v>
      </c>
      <c r="D253" s="35">
        <v>5406.96</v>
      </c>
      <c r="E253" s="35">
        <v>5554.13</v>
      </c>
      <c r="F253" s="36">
        <v>4458205000</v>
      </c>
    </row>
    <row r="254" spans="1:6" x14ac:dyDescent="0.25">
      <c r="A254" s="28">
        <v>45667</v>
      </c>
      <c r="B254" s="35">
        <v>5490.51</v>
      </c>
      <c r="C254" s="35">
        <v>5497.91</v>
      </c>
      <c r="D254" s="35">
        <v>5441.72</v>
      </c>
      <c r="E254" s="35">
        <v>5495.52</v>
      </c>
      <c r="F254" s="36">
        <v>3008639000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5079-CD9A-4079-AB8F-8FC43EE9EB80}">
  <dimension ref="A1:F254"/>
  <sheetViews>
    <sheetView zoomScale="90" zoomScaleNormal="90" workbookViewId="0">
      <selection activeCell="Q50" sqref="Q50"/>
    </sheetView>
  </sheetViews>
  <sheetFormatPr defaultRowHeight="15" x14ac:dyDescent="0.25"/>
  <cols>
    <col min="1" max="1" width="9.85546875" style="15" customWidth="1"/>
    <col min="2" max="2" width="13.85546875" style="35" bestFit="1" customWidth="1"/>
    <col min="3" max="3" width="7.140625" style="37" bestFit="1" customWidth="1"/>
    <col min="5" max="6" width="7.140625" style="37" bestFit="1" customWidth="1"/>
  </cols>
  <sheetData>
    <row r="1" spans="1:6" x14ac:dyDescent="0.25">
      <c r="A1" t="s">
        <v>67</v>
      </c>
    </row>
    <row r="2" spans="1:6" x14ac:dyDescent="0.25">
      <c r="A2" s="15" t="s">
        <v>68</v>
      </c>
    </row>
    <row r="3" spans="1:6" x14ac:dyDescent="0.25">
      <c r="A3" s="38" t="s">
        <v>36</v>
      </c>
      <c r="B3" s="35" t="s">
        <v>66</v>
      </c>
      <c r="C3" s="35" t="s">
        <v>62</v>
      </c>
      <c r="D3" t="s">
        <v>63</v>
      </c>
      <c r="E3" s="35" t="s">
        <v>64</v>
      </c>
      <c r="F3" s="35" t="s">
        <v>65</v>
      </c>
    </row>
    <row r="4" spans="1:6" x14ac:dyDescent="0.25">
      <c r="A4" s="38">
        <v>46032</v>
      </c>
      <c r="B4" s="35">
        <v>35928215</v>
      </c>
      <c r="C4" s="35">
        <v>232.02</v>
      </c>
      <c r="D4">
        <v>232.34</v>
      </c>
      <c r="E4" s="35">
        <v>226.37</v>
      </c>
      <c r="F4" s="35">
        <v>226.6</v>
      </c>
    </row>
    <row r="5" spans="1:6" x14ac:dyDescent="0.25">
      <c r="A5" s="38">
        <v>46031</v>
      </c>
      <c r="B5" s="35">
        <v>66153200</v>
      </c>
      <c r="C5" s="35">
        <v>237</v>
      </c>
      <c r="D5">
        <v>238.78</v>
      </c>
      <c r="E5" s="35">
        <v>233.36</v>
      </c>
      <c r="F5" s="35">
        <v>234.35</v>
      </c>
    </row>
    <row r="6" spans="1:6" x14ac:dyDescent="0.25">
      <c r="A6" s="38">
        <v>46030</v>
      </c>
      <c r="B6" s="35">
        <v>48999500</v>
      </c>
      <c r="C6" s="35">
        <v>239.3</v>
      </c>
      <c r="D6">
        <v>240.15</v>
      </c>
      <c r="E6" s="35">
        <v>236.34</v>
      </c>
      <c r="F6" s="35">
        <v>237.88</v>
      </c>
    </row>
    <row r="7" spans="1:6" x14ac:dyDescent="0.25">
      <c r="A7" s="38">
        <v>46027</v>
      </c>
      <c r="B7" s="35">
        <v>54870400</v>
      </c>
      <c r="C7" s="35">
        <v>240</v>
      </c>
      <c r="D7">
        <v>241.32</v>
      </c>
      <c r="E7" s="35">
        <v>238.49</v>
      </c>
      <c r="F7" s="35">
        <v>239.69</v>
      </c>
    </row>
    <row r="8" spans="1:6" x14ac:dyDescent="0.25">
      <c r="A8" s="38">
        <v>46026</v>
      </c>
      <c r="B8" s="35">
        <v>47549400</v>
      </c>
      <c r="C8" s="35">
        <v>238.45</v>
      </c>
      <c r="D8">
        <v>239.9</v>
      </c>
      <c r="E8" s="35">
        <v>236.74</v>
      </c>
      <c r="F8" s="35">
        <v>239.78</v>
      </c>
    </row>
    <row r="9" spans="1:6" x14ac:dyDescent="0.25">
      <c r="A9" s="38">
        <v>46025</v>
      </c>
      <c r="B9" s="35">
        <v>66427800</v>
      </c>
      <c r="C9" s="35">
        <v>237.21</v>
      </c>
      <c r="D9">
        <v>238.85</v>
      </c>
      <c r="E9" s="35">
        <v>234.36</v>
      </c>
      <c r="F9" s="35">
        <v>238.47</v>
      </c>
    </row>
    <row r="10" spans="1:6" x14ac:dyDescent="0.25">
      <c r="A10" s="38">
        <v>46024</v>
      </c>
      <c r="B10" s="35">
        <v>44075600</v>
      </c>
      <c r="C10" s="35">
        <v>229.25</v>
      </c>
      <c r="D10">
        <v>230.85</v>
      </c>
      <c r="E10" s="35">
        <v>226.97</v>
      </c>
      <c r="F10" s="35">
        <v>229.72</v>
      </c>
    </row>
    <row r="11" spans="1:6" x14ac:dyDescent="0.25">
      <c r="A11" s="38">
        <v>46020</v>
      </c>
      <c r="B11" s="35">
        <v>39418400</v>
      </c>
      <c r="C11" s="35">
        <v>232.51</v>
      </c>
      <c r="D11">
        <v>233.38</v>
      </c>
      <c r="E11" s="35">
        <v>231.37</v>
      </c>
      <c r="F11" s="35">
        <v>232.14</v>
      </c>
    </row>
    <row r="12" spans="1:6" x14ac:dyDescent="0.25">
      <c r="A12" s="38">
        <v>46019</v>
      </c>
      <c r="B12" s="35">
        <v>38074700</v>
      </c>
      <c r="C12" s="35">
        <v>230.82</v>
      </c>
      <c r="D12">
        <v>233.41</v>
      </c>
      <c r="E12" s="35">
        <v>229.34</v>
      </c>
      <c r="F12" s="35">
        <v>232.56</v>
      </c>
    </row>
    <row r="13" spans="1:6" x14ac:dyDescent="0.25">
      <c r="A13" s="38">
        <v>46018</v>
      </c>
      <c r="B13" s="35">
        <v>31259500</v>
      </c>
      <c r="C13" s="35">
        <v>228.61</v>
      </c>
      <c r="D13">
        <v>230.9</v>
      </c>
      <c r="E13" s="35">
        <v>228.26</v>
      </c>
      <c r="F13" s="35">
        <v>230.49</v>
      </c>
    </row>
    <row r="14" spans="1:6" x14ac:dyDescent="0.25">
      <c r="A14" s="38">
        <v>46017</v>
      </c>
      <c r="B14" s="35">
        <v>54575100</v>
      </c>
      <c r="C14" s="35">
        <v>226.87</v>
      </c>
      <c r="D14">
        <v>229.49</v>
      </c>
      <c r="E14" s="35">
        <v>224.69</v>
      </c>
      <c r="F14" s="35">
        <v>229.31</v>
      </c>
    </row>
    <row r="15" spans="1:6" x14ac:dyDescent="0.25">
      <c r="A15" s="38">
        <v>46016</v>
      </c>
      <c r="B15" s="35">
        <v>30983100</v>
      </c>
      <c r="C15" s="35">
        <v>226.48</v>
      </c>
      <c r="D15">
        <v>229.3</v>
      </c>
      <c r="E15" s="35">
        <v>226.23</v>
      </c>
      <c r="F15" s="35">
        <v>227.16</v>
      </c>
    </row>
    <row r="16" spans="1:6" x14ac:dyDescent="0.25">
      <c r="A16" s="38">
        <v>46013</v>
      </c>
      <c r="B16" s="35">
        <v>42477800</v>
      </c>
      <c r="C16" s="35">
        <v>226.17</v>
      </c>
      <c r="D16">
        <v>229.09</v>
      </c>
      <c r="E16" s="35">
        <v>225.41</v>
      </c>
      <c r="F16" s="35">
        <v>227.76</v>
      </c>
    </row>
    <row r="17" spans="1:6" x14ac:dyDescent="0.25">
      <c r="A17" s="38">
        <v>46012</v>
      </c>
      <c r="B17" s="35">
        <v>30621200</v>
      </c>
      <c r="C17" s="35">
        <v>226.27</v>
      </c>
      <c r="D17">
        <v>226.52</v>
      </c>
      <c r="E17" s="35">
        <v>223.78</v>
      </c>
      <c r="F17" s="35">
        <v>224.9</v>
      </c>
    </row>
    <row r="18" spans="1:6" x14ac:dyDescent="0.25">
      <c r="A18" s="38">
        <v>46011</v>
      </c>
      <c r="B18" s="35">
        <v>42263900</v>
      </c>
      <c r="C18" s="35">
        <v>229.98</v>
      </c>
      <c r="D18">
        <v>230.47</v>
      </c>
      <c r="E18" s="35">
        <v>225.77</v>
      </c>
      <c r="F18" s="35">
        <v>226.01</v>
      </c>
    </row>
    <row r="19" spans="1:6" x14ac:dyDescent="0.25">
      <c r="A19" s="38">
        <v>46010</v>
      </c>
      <c r="B19" s="35">
        <v>39402600</v>
      </c>
      <c r="C19" s="35">
        <v>231.28</v>
      </c>
      <c r="D19">
        <v>232.87</v>
      </c>
      <c r="E19" s="35">
        <v>229.35</v>
      </c>
      <c r="F19" s="35">
        <v>230.56</v>
      </c>
    </row>
    <row r="20" spans="1:6" x14ac:dyDescent="0.25">
      <c r="A20" s="38">
        <v>46009</v>
      </c>
      <c r="B20" s="35">
        <v>37476200</v>
      </c>
      <c r="C20" s="35">
        <v>231.7</v>
      </c>
      <c r="D20">
        <v>233.12</v>
      </c>
      <c r="E20" s="35">
        <v>230.11</v>
      </c>
      <c r="F20" s="35">
        <v>230.89</v>
      </c>
    </row>
    <row r="21" spans="1:6" x14ac:dyDescent="0.25">
      <c r="A21" s="38">
        <v>46006</v>
      </c>
      <c r="B21" s="35">
        <v>56038700</v>
      </c>
      <c r="C21" s="35">
        <v>234</v>
      </c>
      <c r="D21">
        <v>234.28</v>
      </c>
      <c r="E21" s="35">
        <v>229.34</v>
      </c>
      <c r="F21" s="35">
        <v>231.59</v>
      </c>
    </row>
    <row r="22" spans="1:6" x14ac:dyDescent="0.25">
      <c r="A22" s="38">
        <v>46005</v>
      </c>
      <c r="B22" s="35">
        <v>51916300</v>
      </c>
      <c r="C22" s="35">
        <v>234.06</v>
      </c>
      <c r="D22">
        <v>235.12</v>
      </c>
      <c r="E22" s="35">
        <v>230.85</v>
      </c>
      <c r="F22" s="35">
        <v>232.78</v>
      </c>
    </row>
    <row r="23" spans="1:6" x14ac:dyDescent="0.25">
      <c r="A23" s="38">
        <v>46004</v>
      </c>
      <c r="B23" s="35">
        <v>69878500</v>
      </c>
      <c r="C23" s="35">
        <v>231.07</v>
      </c>
      <c r="D23">
        <v>235</v>
      </c>
      <c r="E23" s="35">
        <v>230.43</v>
      </c>
      <c r="F23" s="35">
        <v>233.33</v>
      </c>
    </row>
    <row r="24" spans="1:6" x14ac:dyDescent="0.25">
      <c r="A24" s="38">
        <v>46003</v>
      </c>
      <c r="B24" s="35">
        <v>55626200</v>
      </c>
      <c r="C24" s="35">
        <v>228.01</v>
      </c>
      <c r="D24">
        <v>230.8</v>
      </c>
      <c r="E24" s="35">
        <v>227.07</v>
      </c>
      <c r="F24" s="35">
        <v>229.65</v>
      </c>
    </row>
    <row r="25" spans="1:6" x14ac:dyDescent="0.25">
      <c r="A25" s="38">
        <v>46002</v>
      </c>
      <c r="B25" s="35">
        <v>61806100</v>
      </c>
      <c r="C25" s="35">
        <v>227.92</v>
      </c>
      <c r="D25">
        <v>229.56</v>
      </c>
      <c r="E25" s="35">
        <v>224.76</v>
      </c>
      <c r="F25" s="35">
        <v>227.18</v>
      </c>
    </row>
    <row r="26" spans="1:6" x14ac:dyDescent="0.25">
      <c r="A26" s="38">
        <v>45999</v>
      </c>
      <c r="B26" s="35">
        <v>113854000</v>
      </c>
      <c r="C26" s="35">
        <v>220.83</v>
      </c>
      <c r="D26">
        <v>231</v>
      </c>
      <c r="E26" s="35">
        <v>219.25</v>
      </c>
      <c r="F26" s="35">
        <v>229.09</v>
      </c>
    </row>
    <row r="27" spans="1:6" x14ac:dyDescent="0.25">
      <c r="A27" s="38">
        <v>45998</v>
      </c>
      <c r="B27" s="35">
        <v>90224800</v>
      </c>
      <c r="C27" s="35">
        <v>218.88</v>
      </c>
      <c r="D27">
        <v>220.85</v>
      </c>
      <c r="E27" s="35">
        <v>216.58</v>
      </c>
      <c r="F27" s="35">
        <v>219.78</v>
      </c>
    </row>
    <row r="28" spans="1:6" x14ac:dyDescent="0.25">
      <c r="A28" s="38">
        <v>45997</v>
      </c>
      <c r="B28" s="35">
        <v>108483100</v>
      </c>
      <c r="C28" s="35">
        <v>205.63</v>
      </c>
      <c r="D28">
        <v>215.38</v>
      </c>
      <c r="E28" s="35">
        <v>205.59</v>
      </c>
      <c r="F28" s="35">
        <v>213.01</v>
      </c>
    </row>
    <row r="29" spans="1:6" x14ac:dyDescent="0.25">
      <c r="A29" s="38">
        <v>45996</v>
      </c>
      <c r="B29" s="35">
        <v>44155100</v>
      </c>
      <c r="C29" s="35">
        <v>203.4</v>
      </c>
      <c r="D29">
        <v>205.34</v>
      </c>
      <c r="E29" s="35">
        <v>202.16</v>
      </c>
      <c r="F29" s="35">
        <v>202.69</v>
      </c>
    </row>
    <row r="30" spans="1:6" x14ac:dyDescent="0.25">
      <c r="A30" s="38">
        <v>45995</v>
      </c>
      <c r="B30" s="35">
        <v>75109300</v>
      </c>
      <c r="C30" s="35">
        <v>204.51</v>
      </c>
      <c r="D30">
        <v>207.88</v>
      </c>
      <c r="E30" s="35">
        <v>201.68</v>
      </c>
      <c r="F30" s="35">
        <v>203.12</v>
      </c>
    </row>
    <row r="31" spans="1:6" x14ac:dyDescent="0.25">
      <c r="A31" s="38">
        <v>45992</v>
      </c>
      <c r="B31" s="35">
        <v>104434500</v>
      </c>
      <c r="C31" s="35">
        <v>210.87</v>
      </c>
      <c r="D31">
        <v>213.58</v>
      </c>
      <c r="E31" s="35">
        <v>201.5</v>
      </c>
      <c r="F31" s="35">
        <v>202.15</v>
      </c>
    </row>
    <row r="32" spans="1:6" x14ac:dyDescent="0.25">
      <c r="A32" s="38">
        <v>45991</v>
      </c>
      <c r="B32" s="35">
        <v>80698400</v>
      </c>
      <c r="C32" s="35">
        <v>208.49</v>
      </c>
      <c r="D32">
        <v>209.84</v>
      </c>
      <c r="E32" s="35">
        <v>207.16</v>
      </c>
      <c r="F32" s="35">
        <v>207.33</v>
      </c>
    </row>
    <row r="33" spans="1:6" x14ac:dyDescent="0.25">
      <c r="A33" s="38">
        <v>45990</v>
      </c>
      <c r="B33" s="35">
        <v>45512500</v>
      </c>
      <c r="C33" s="35">
        <v>211.9</v>
      </c>
      <c r="D33">
        <v>212.39</v>
      </c>
      <c r="E33" s="35">
        <v>207.72</v>
      </c>
      <c r="F33" s="35">
        <v>208.81</v>
      </c>
    </row>
    <row r="34" spans="1:6" x14ac:dyDescent="0.25">
      <c r="A34" s="38">
        <v>45989</v>
      </c>
      <c r="B34" s="35">
        <v>51411700</v>
      </c>
      <c r="C34" s="35">
        <v>214.18</v>
      </c>
      <c r="D34">
        <v>214.81</v>
      </c>
      <c r="E34" s="35">
        <v>210.82</v>
      </c>
      <c r="F34" s="35">
        <v>211.03</v>
      </c>
    </row>
    <row r="35" spans="1:6" x14ac:dyDescent="0.25">
      <c r="A35" s="38">
        <v>45988</v>
      </c>
      <c r="B35" s="35">
        <v>37858000</v>
      </c>
      <c r="C35" s="35">
        <v>214.03</v>
      </c>
      <c r="D35">
        <v>214.85</v>
      </c>
      <c r="E35" s="35">
        <v>213.06</v>
      </c>
      <c r="F35" s="35">
        <v>213.81</v>
      </c>
    </row>
    <row r="36" spans="1:6" x14ac:dyDescent="0.25">
      <c r="A36" s="38">
        <v>45985</v>
      </c>
      <c r="B36" s="35">
        <v>40268800</v>
      </c>
      <c r="C36" s="35">
        <v>214.7</v>
      </c>
      <c r="D36">
        <v>215.24</v>
      </c>
      <c r="E36" s="35">
        <v>213.4</v>
      </c>
      <c r="F36" s="35">
        <v>213.64</v>
      </c>
    </row>
    <row r="37" spans="1:6" x14ac:dyDescent="0.25">
      <c r="A37" s="38">
        <v>45984</v>
      </c>
      <c r="B37" s="35">
        <v>46022600</v>
      </c>
      <c r="C37" s="35">
        <v>213.9</v>
      </c>
      <c r="D37">
        <v>215.69</v>
      </c>
      <c r="E37" s="35">
        <v>213.53</v>
      </c>
      <c r="F37" s="35">
        <v>213.52</v>
      </c>
    </row>
    <row r="38" spans="1:6" x14ac:dyDescent="0.25">
      <c r="A38" s="38">
        <v>45983</v>
      </c>
      <c r="B38" s="35">
        <v>46989300</v>
      </c>
      <c r="C38" s="35">
        <v>215</v>
      </c>
      <c r="D38">
        <v>215.15</v>
      </c>
      <c r="E38" s="35">
        <v>212.41</v>
      </c>
      <c r="F38" s="35">
        <v>213.91</v>
      </c>
    </row>
    <row r="39" spans="1:6" x14ac:dyDescent="0.25">
      <c r="A39" s="38">
        <v>45982</v>
      </c>
      <c r="B39" s="35">
        <v>46404100</v>
      </c>
      <c r="C39" s="35">
        <v>213.14</v>
      </c>
      <c r="D39">
        <v>214.95</v>
      </c>
      <c r="E39" s="35">
        <v>212.23</v>
      </c>
      <c r="F39" s="35">
        <v>214.16</v>
      </c>
    </row>
    <row r="40" spans="1:6" x14ac:dyDescent="0.25">
      <c r="A40" s="38">
        <v>45981</v>
      </c>
      <c r="B40" s="35">
        <v>51377400</v>
      </c>
      <c r="C40" s="35">
        <v>212.1</v>
      </c>
      <c r="D40">
        <v>215.78</v>
      </c>
      <c r="E40" s="35">
        <v>211.63</v>
      </c>
      <c r="F40" s="35">
        <v>212.24</v>
      </c>
    </row>
    <row r="41" spans="1:6" x14ac:dyDescent="0.25">
      <c r="A41" s="38">
        <v>45978</v>
      </c>
      <c r="B41" s="35">
        <v>48974600</v>
      </c>
      <c r="C41" s="35">
        <v>210.87</v>
      </c>
      <c r="D41">
        <v>211.79</v>
      </c>
      <c r="E41" s="35">
        <v>209.7</v>
      </c>
      <c r="F41" s="35">
        <v>210.94</v>
      </c>
    </row>
    <row r="42" spans="1:6" x14ac:dyDescent="0.25">
      <c r="A42" s="38">
        <v>45977</v>
      </c>
      <c r="B42" s="35">
        <v>48068100</v>
      </c>
      <c r="C42" s="35">
        <v>210.57</v>
      </c>
      <c r="D42">
        <v>211.8</v>
      </c>
      <c r="E42" s="35">
        <v>209.59</v>
      </c>
      <c r="F42" s="35">
        <v>209.78</v>
      </c>
    </row>
    <row r="43" spans="1:6" x14ac:dyDescent="0.25">
      <c r="A43" s="38">
        <v>45976</v>
      </c>
      <c r="B43" s="35">
        <v>47490500</v>
      </c>
      <c r="C43" s="35">
        <v>210.3</v>
      </c>
      <c r="D43">
        <v>212.4</v>
      </c>
      <c r="E43" s="35">
        <v>208.64</v>
      </c>
      <c r="F43" s="35">
        <v>209.92</v>
      </c>
    </row>
    <row r="44" spans="1:6" x14ac:dyDescent="0.25">
      <c r="A44" s="38">
        <v>45975</v>
      </c>
      <c r="B44" s="35">
        <v>42296300</v>
      </c>
      <c r="C44" s="35">
        <v>209.22</v>
      </c>
      <c r="D44">
        <v>211.89</v>
      </c>
      <c r="E44" s="35">
        <v>208.92</v>
      </c>
      <c r="F44" s="35">
        <v>208.87</v>
      </c>
    </row>
    <row r="45" spans="1:6" x14ac:dyDescent="0.25">
      <c r="A45" s="38">
        <v>45974</v>
      </c>
      <c r="B45" s="35">
        <v>38840100</v>
      </c>
      <c r="C45" s="35">
        <v>209.93</v>
      </c>
      <c r="D45">
        <v>210.91</v>
      </c>
      <c r="E45" s="35">
        <v>207.54</v>
      </c>
      <c r="F45" s="35">
        <v>208.38</v>
      </c>
    </row>
    <row r="46" spans="1:6" x14ac:dyDescent="0.25">
      <c r="A46" s="38">
        <v>45971</v>
      </c>
      <c r="B46" s="35">
        <v>39765800</v>
      </c>
      <c r="C46" s="35">
        <v>210.57</v>
      </c>
      <c r="D46">
        <v>212.13</v>
      </c>
      <c r="E46" s="35">
        <v>209.86</v>
      </c>
      <c r="F46" s="35">
        <v>210.92</v>
      </c>
    </row>
    <row r="47" spans="1:6" x14ac:dyDescent="0.25">
      <c r="A47" s="38">
        <v>45970</v>
      </c>
      <c r="B47" s="35">
        <v>44443600</v>
      </c>
      <c r="C47" s="35">
        <v>210.51</v>
      </c>
      <c r="D47">
        <v>213.48</v>
      </c>
      <c r="E47" s="35">
        <v>210.03</v>
      </c>
      <c r="F47" s="35">
        <v>212.17</v>
      </c>
    </row>
    <row r="48" spans="1:6" x14ac:dyDescent="0.25">
      <c r="A48" s="38">
        <v>45969</v>
      </c>
      <c r="B48" s="35">
        <v>48749400</v>
      </c>
      <c r="C48" s="35">
        <v>209.53</v>
      </c>
      <c r="D48">
        <v>211.33</v>
      </c>
      <c r="E48" s="35">
        <v>207.22</v>
      </c>
      <c r="F48" s="35">
        <v>210.9</v>
      </c>
    </row>
    <row r="49" spans="1:6" x14ac:dyDescent="0.25">
      <c r="A49" s="38">
        <v>45968</v>
      </c>
      <c r="B49" s="35">
        <v>42848900</v>
      </c>
      <c r="C49" s="35">
        <v>210.1</v>
      </c>
      <c r="D49">
        <v>211.43</v>
      </c>
      <c r="E49" s="35">
        <v>208.45</v>
      </c>
      <c r="F49" s="35">
        <v>209.77</v>
      </c>
    </row>
    <row r="50" spans="1:6" x14ac:dyDescent="0.25">
      <c r="A50" s="38">
        <v>45967</v>
      </c>
      <c r="B50" s="35">
        <v>50229000</v>
      </c>
      <c r="C50" s="35">
        <v>212.68</v>
      </c>
      <c r="D50">
        <v>216.23</v>
      </c>
      <c r="E50" s="35">
        <v>208.8</v>
      </c>
      <c r="F50" s="35">
        <v>209.71</v>
      </c>
    </row>
    <row r="51" spans="1:6" x14ac:dyDescent="0.25">
      <c r="A51" s="38">
        <v>45963</v>
      </c>
      <c r="B51" s="35">
        <v>34955800</v>
      </c>
      <c r="C51" s="35">
        <v>212.15</v>
      </c>
      <c r="D51">
        <v>214.65</v>
      </c>
      <c r="E51" s="35">
        <v>211.81</v>
      </c>
      <c r="F51" s="35">
        <v>213.31</v>
      </c>
    </row>
    <row r="52" spans="1:6" x14ac:dyDescent="0.25">
      <c r="A52" s="38">
        <v>45962</v>
      </c>
      <c r="B52" s="35">
        <v>67941800</v>
      </c>
      <c r="C52" s="35">
        <v>208.91</v>
      </c>
      <c r="D52">
        <v>213.34</v>
      </c>
      <c r="E52" s="35">
        <v>208.14</v>
      </c>
      <c r="F52" s="35">
        <v>212.2</v>
      </c>
    </row>
    <row r="53" spans="1:6" x14ac:dyDescent="0.25">
      <c r="A53" s="38">
        <v>45961</v>
      </c>
      <c r="B53" s="35">
        <v>78788900</v>
      </c>
      <c r="C53" s="35">
        <v>206.67</v>
      </c>
      <c r="D53">
        <v>210.19</v>
      </c>
      <c r="E53" s="35">
        <v>206.14</v>
      </c>
      <c r="F53" s="35">
        <v>207.58</v>
      </c>
    </row>
    <row r="54" spans="1:6" x14ac:dyDescent="0.25">
      <c r="A54" s="38">
        <v>45960</v>
      </c>
      <c r="B54" s="35">
        <v>91912800</v>
      </c>
      <c r="C54" s="35">
        <v>202.01</v>
      </c>
      <c r="D54">
        <v>207.39</v>
      </c>
      <c r="E54" s="35">
        <v>199.26</v>
      </c>
      <c r="F54" s="35">
        <v>204.94</v>
      </c>
    </row>
    <row r="55" spans="1:6" x14ac:dyDescent="0.25">
      <c r="A55" s="38">
        <v>45957</v>
      </c>
      <c r="B55" s="35">
        <v>73188600</v>
      </c>
      <c r="C55" s="35">
        <v>201.89</v>
      </c>
      <c r="D55">
        <v>203.22</v>
      </c>
      <c r="E55" s="35">
        <v>200</v>
      </c>
      <c r="F55" s="35">
        <v>200.85</v>
      </c>
    </row>
    <row r="56" spans="1:6" x14ac:dyDescent="0.25">
      <c r="A56" s="38">
        <v>45956</v>
      </c>
      <c r="B56" s="35">
        <v>50799100</v>
      </c>
      <c r="C56" s="35">
        <v>201.43</v>
      </c>
      <c r="D56">
        <v>202.64</v>
      </c>
      <c r="E56" s="35">
        <v>199.46</v>
      </c>
      <c r="F56" s="35">
        <v>200.77</v>
      </c>
    </row>
    <row r="57" spans="1:6" x14ac:dyDescent="0.25">
      <c r="A57" s="38">
        <v>45955</v>
      </c>
      <c r="B57" s="35">
        <v>39525700</v>
      </c>
      <c r="C57" s="35">
        <v>201.45</v>
      </c>
      <c r="D57">
        <v>203.67</v>
      </c>
      <c r="E57" s="35">
        <v>200.62</v>
      </c>
      <c r="F57" s="35">
        <v>201.33</v>
      </c>
    </row>
    <row r="58" spans="1:6" x14ac:dyDescent="0.25">
      <c r="A58" s="38">
        <v>45954</v>
      </c>
      <c r="B58" s="35">
        <v>54064000</v>
      </c>
      <c r="C58" s="35">
        <v>202.59</v>
      </c>
      <c r="D58">
        <v>203.44</v>
      </c>
      <c r="E58" s="35">
        <v>200.2</v>
      </c>
      <c r="F58" s="35">
        <v>200.07</v>
      </c>
    </row>
    <row r="59" spans="1:6" x14ac:dyDescent="0.25">
      <c r="A59" s="38">
        <v>45953</v>
      </c>
      <c r="B59" s="35">
        <v>55814300</v>
      </c>
      <c r="C59" s="35">
        <v>201.63</v>
      </c>
      <c r="D59">
        <v>202.3</v>
      </c>
      <c r="E59" s="35">
        <v>198.96</v>
      </c>
      <c r="F59" s="35">
        <v>201.27</v>
      </c>
    </row>
    <row r="60" spans="1:6" x14ac:dyDescent="0.25">
      <c r="A60" s="38">
        <v>45950</v>
      </c>
      <c r="B60" s="35">
        <v>96813500</v>
      </c>
      <c r="C60" s="35">
        <v>198.24</v>
      </c>
      <c r="D60">
        <v>201.7</v>
      </c>
      <c r="E60" s="35">
        <v>196.86</v>
      </c>
      <c r="F60" s="35">
        <v>200.77</v>
      </c>
    </row>
    <row r="61" spans="1:6" x14ac:dyDescent="0.25">
      <c r="A61" s="38">
        <v>45948</v>
      </c>
      <c r="B61" s="35">
        <v>45394700</v>
      </c>
      <c r="C61" s="35">
        <v>195.94</v>
      </c>
      <c r="D61">
        <v>197.57</v>
      </c>
      <c r="E61" s="35">
        <v>195.07</v>
      </c>
      <c r="F61" s="35">
        <v>196.36</v>
      </c>
    </row>
    <row r="62" spans="1:6" x14ac:dyDescent="0.25">
      <c r="A62" s="38">
        <v>45947</v>
      </c>
      <c r="B62" s="35">
        <v>38856200</v>
      </c>
      <c r="C62" s="35">
        <v>197.2</v>
      </c>
      <c r="D62">
        <v>198.39</v>
      </c>
      <c r="E62" s="35">
        <v>195.21</v>
      </c>
      <c r="F62" s="35">
        <v>195.42</v>
      </c>
    </row>
    <row r="63" spans="1:6" x14ac:dyDescent="0.25">
      <c r="A63" s="38">
        <v>45946</v>
      </c>
      <c r="B63" s="35">
        <v>43020700</v>
      </c>
      <c r="C63" s="35">
        <v>197.3</v>
      </c>
      <c r="D63">
        <v>198.69</v>
      </c>
      <c r="E63" s="35">
        <v>196.56</v>
      </c>
      <c r="F63" s="35">
        <v>198.2</v>
      </c>
    </row>
    <row r="64" spans="1:6" x14ac:dyDescent="0.25">
      <c r="A64" s="38">
        <v>45943</v>
      </c>
      <c r="B64" s="35">
        <v>51447300</v>
      </c>
      <c r="C64" s="35">
        <v>199.73</v>
      </c>
      <c r="D64">
        <v>200.37</v>
      </c>
      <c r="E64" s="35">
        <v>195.7</v>
      </c>
      <c r="F64" s="35">
        <v>196.23</v>
      </c>
    </row>
    <row r="65" spans="1:6" x14ac:dyDescent="0.25">
      <c r="A65" s="38">
        <v>45942</v>
      </c>
      <c r="B65" s="35">
        <v>43904600</v>
      </c>
      <c r="C65" s="35">
        <v>199.08</v>
      </c>
      <c r="D65">
        <v>199.68</v>
      </c>
      <c r="E65" s="35">
        <v>197.36</v>
      </c>
      <c r="F65" s="35">
        <v>198.97</v>
      </c>
    </row>
    <row r="66" spans="1:6" x14ac:dyDescent="0.25">
      <c r="A66" s="38">
        <v>45941</v>
      </c>
      <c r="B66" s="35">
        <v>60989900</v>
      </c>
      <c r="C66" s="35">
        <v>203.5</v>
      </c>
      <c r="D66">
        <v>204.5</v>
      </c>
      <c r="E66" s="35">
        <v>198.41</v>
      </c>
      <c r="F66" s="35">
        <v>198.55</v>
      </c>
    </row>
    <row r="67" spans="1:6" x14ac:dyDescent="0.25">
      <c r="A67" s="38">
        <v>45940</v>
      </c>
      <c r="B67" s="35">
        <v>54672600</v>
      </c>
      <c r="C67" s="35">
        <v>200.6</v>
      </c>
      <c r="D67">
        <v>204.35</v>
      </c>
      <c r="E67" s="35">
        <v>200.57</v>
      </c>
      <c r="F67" s="35">
        <v>202.44</v>
      </c>
    </row>
    <row r="68" spans="1:6" x14ac:dyDescent="0.25">
      <c r="A68" s="38">
        <v>45939</v>
      </c>
      <c r="B68" s="35">
        <v>72862600</v>
      </c>
      <c r="C68" s="35">
        <v>204.39</v>
      </c>
      <c r="D68">
        <v>206</v>
      </c>
      <c r="E68" s="35">
        <v>200.02</v>
      </c>
      <c r="F68" s="35">
        <v>201.22</v>
      </c>
    </row>
    <row r="69" spans="1:6" x14ac:dyDescent="0.25">
      <c r="A69" s="38">
        <v>45936</v>
      </c>
      <c r="B69" s="35">
        <v>46607700</v>
      </c>
      <c r="C69" s="35">
        <v>203</v>
      </c>
      <c r="D69">
        <v>205.7</v>
      </c>
      <c r="E69" s="35">
        <v>202.05</v>
      </c>
      <c r="F69" s="35">
        <v>203.69</v>
      </c>
    </row>
    <row r="70" spans="1:6" x14ac:dyDescent="0.25">
      <c r="A70" s="38">
        <v>45935</v>
      </c>
      <c r="B70" s="35">
        <v>55126100</v>
      </c>
      <c r="C70" s="35">
        <v>203.5</v>
      </c>
      <c r="D70">
        <v>204.75</v>
      </c>
      <c r="E70" s="35">
        <v>200.15</v>
      </c>
      <c r="F70" s="35">
        <v>200.4</v>
      </c>
    </row>
    <row r="71" spans="1:6" x14ac:dyDescent="0.25">
      <c r="A71" s="38">
        <v>45934</v>
      </c>
      <c r="B71" s="35">
        <v>43604000</v>
      </c>
      <c r="C71" s="35">
        <v>202.91</v>
      </c>
      <c r="D71">
        <v>206.24</v>
      </c>
      <c r="E71" s="35">
        <v>202.1</v>
      </c>
      <c r="F71" s="35">
        <v>202.59</v>
      </c>
    </row>
    <row r="72" spans="1:6" x14ac:dyDescent="0.25">
      <c r="A72" s="38">
        <v>45933</v>
      </c>
      <c r="B72" s="35">
        <v>46381600</v>
      </c>
      <c r="C72" s="35">
        <v>201.35</v>
      </c>
      <c r="D72">
        <v>203.77</v>
      </c>
      <c r="E72" s="35">
        <v>200.96</v>
      </c>
      <c r="F72" s="35">
        <v>203.04</v>
      </c>
    </row>
    <row r="73" spans="1:6" x14ac:dyDescent="0.25">
      <c r="A73" s="38">
        <v>45932</v>
      </c>
      <c r="B73" s="35">
        <v>35423300</v>
      </c>
      <c r="C73" s="35">
        <v>200.28</v>
      </c>
      <c r="D73">
        <v>202.13</v>
      </c>
      <c r="E73" s="35">
        <v>200.12</v>
      </c>
      <c r="F73" s="35">
        <v>201.47</v>
      </c>
    </row>
    <row r="74" spans="1:6" x14ac:dyDescent="0.25">
      <c r="A74" s="38">
        <v>45929</v>
      </c>
      <c r="B74" s="35">
        <v>70819900</v>
      </c>
      <c r="C74" s="35">
        <v>199.37</v>
      </c>
      <c r="D74">
        <v>201.96</v>
      </c>
      <c r="E74" s="35">
        <v>196.78</v>
      </c>
      <c r="F74" s="35">
        <v>200.62</v>
      </c>
    </row>
    <row r="75" spans="1:6" x14ac:dyDescent="0.25">
      <c r="A75" s="38">
        <v>45928</v>
      </c>
      <c r="B75" s="35">
        <v>51396800</v>
      </c>
      <c r="C75" s="35">
        <v>203.58</v>
      </c>
      <c r="D75">
        <v>203.81</v>
      </c>
      <c r="E75" s="35">
        <v>198.51</v>
      </c>
      <c r="F75" s="35">
        <v>199.72</v>
      </c>
    </row>
    <row r="76" spans="1:6" x14ac:dyDescent="0.25">
      <c r="A76" s="38">
        <v>45927</v>
      </c>
      <c r="B76" s="35">
        <v>45339700</v>
      </c>
      <c r="C76" s="35">
        <v>200.59</v>
      </c>
      <c r="D76">
        <v>202.73</v>
      </c>
      <c r="E76" s="35">
        <v>199.9</v>
      </c>
      <c r="F76" s="35">
        <v>200.19</v>
      </c>
    </row>
    <row r="77" spans="1:6" x14ac:dyDescent="0.25">
      <c r="A77" s="38">
        <v>45926</v>
      </c>
      <c r="B77" s="35">
        <v>56288500</v>
      </c>
      <c r="C77" s="35">
        <v>198.3</v>
      </c>
      <c r="D77">
        <v>200.74</v>
      </c>
      <c r="E77" s="35">
        <v>197.43</v>
      </c>
      <c r="F77" s="35">
        <v>199.98</v>
      </c>
    </row>
    <row r="78" spans="1:6" x14ac:dyDescent="0.25">
      <c r="A78" s="38">
        <v>45922</v>
      </c>
      <c r="B78" s="35">
        <v>78432900</v>
      </c>
      <c r="C78" s="35">
        <v>193.67</v>
      </c>
      <c r="D78">
        <v>197.7</v>
      </c>
      <c r="E78" s="35">
        <v>193.46</v>
      </c>
      <c r="F78" s="35">
        <v>195.05</v>
      </c>
    </row>
    <row r="79" spans="1:6" x14ac:dyDescent="0.25">
      <c r="A79" s="38">
        <v>45921</v>
      </c>
      <c r="B79" s="35">
        <v>46742400</v>
      </c>
      <c r="C79" s="35">
        <v>200.71</v>
      </c>
      <c r="D79">
        <v>202.75</v>
      </c>
      <c r="E79" s="35">
        <v>199.7</v>
      </c>
      <c r="F79" s="35">
        <v>201.13</v>
      </c>
    </row>
    <row r="80" spans="1:6" x14ac:dyDescent="0.25">
      <c r="A80" s="38">
        <v>45920</v>
      </c>
      <c r="B80" s="35">
        <v>59211800</v>
      </c>
      <c r="C80" s="35">
        <v>205.17</v>
      </c>
      <c r="D80">
        <v>207.04</v>
      </c>
      <c r="E80" s="35">
        <v>200.71</v>
      </c>
      <c r="F80" s="35">
        <v>201.86</v>
      </c>
    </row>
    <row r="81" spans="1:6" x14ac:dyDescent="0.25">
      <c r="A81" s="38">
        <v>45919</v>
      </c>
      <c r="B81" s="35">
        <v>42496600</v>
      </c>
      <c r="C81" s="35">
        <v>207.67</v>
      </c>
      <c r="D81">
        <v>208.47</v>
      </c>
      <c r="E81" s="35">
        <v>205.03</v>
      </c>
      <c r="F81" s="35">
        <v>206.63</v>
      </c>
    </row>
    <row r="82" spans="1:6" x14ac:dyDescent="0.25">
      <c r="A82" s="38">
        <v>45918</v>
      </c>
      <c r="B82" s="35">
        <v>46140500</v>
      </c>
      <c r="C82" s="35">
        <v>207.91</v>
      </c>
      <c r="D82">
        <v>209.48</v>
      </c>
      <c r="E82" s="35">
        <v>204.26</v>
      </c>
      <c r="F82" s="35">
        <v>208.54</v>
      </c>
    </row>
    <row r="83" spans="1:6" x14ac:dyDescent="0.25">
      <c r="A83" s="38">
        <v>45915</v>
      </c>
      <c r="B83" s="35">
        <v>54737900</v>
      </c>
      <c r="C83" s="35">
        <v>212.36</v>
      </c>
      <c r="D83">
        <v>212.57</v>
      </c>
      <c r="E83" s="35">
        <v>209.77</v>
      </c>
      <c r="F83" s="35">
        <v>211.02</v>
      </c>
    </row>
    <row r="84" spans="1:6" x14ac:dyDescent="0.25">
      <c r="A84" s="38">
        <v>45914</v>
      </c>
      <c r="B84" s="35">
        <v>45029500</v>
      </c>
      <c r="C84" s="35">
        <v>210.95</v>
      </c>
      <c r="D84">
        <v>212.96</v>
      </c>
      <c r="E84" s="35">
        <v>209.54</v>
      </c>
      <c r="F84" s="35">
        <v>211.21</v>
      </c>
    </row>
    <row r="85" spans="1:6" x14ac:dyDescent="0.25">
      <c r="A85" s="38">
        <v>45913</v>
      </c>
      <c r="B85" s="35">
        <v>49325800</v>
      </c>
      <c r="C85" s="35">
        <v>212.43</v>
      </c>
      <c r="D85">
        <v>213.94</v>
      </c>
      <c r="E85" s="35">
        <v>210.58</v>
      </c>
      <c r="F85" s="35">
        <v>212.09</v>
      </c>
    </row>
    <row r="86" spans="1:6" x14ac:dyDescent="0.25">
      <c r="A86" s="38">
        <v>45912</v>
      </c>
      <c r="B86" s="35">
        <v>51909300</v>
      </c>
      <c r="C86" s="35">
        <v>210.43</v>
      </c>
      <c r="D86">
        <v>213.4</v>
      </c>
      <c r="E86" s="35">
        <v>209</v>
      </c>
      <c r="F86" s="35">
        <v>212.69</v>
      </c>
    </row>
    <row r="87" spans="1:6" x14ac:dyDescent="0.25">
      <c r="A87" s="38">
        <v>45911</v>
      </c>
      <c r="B87" s="35">
        <v>63775800</v>
      </c>
      <c r="C87" s="35">
        <v>210.97</v>
      </c>
      <c r="D87">
        <v>211.27</v>
      </c>
      <c r="E87" s="35">
        <v>206.75</v>
      </c>
      <c r="F87" s="35">
        <v>210.55</v>
      </c>
    </row>
    <row r="88" spans="1:6" x14ac:dyDescent="0.25">
      <c r="A88" s="38">
        <v>45908</v>
      </c>
      <c r="B88" s="35">
        <v>36453900</v>
      </c>
      <c r="C88" s="35">
        <v>199</v>
      </c>
      <c r="D88">
        <v>200.54</v>
      </c>
      <c r="E88" s="35">
        <v>197.54</v>
      </c>
      <c r="F88" s="35">
        <v>198.05</v>
      </c>
    </row>
    <row r="89" spans="1:6" x14ac:dyDescent="0.25">
      <c r="A89" s="38">
        <v>45907</v>
      </c>
      <c r="B89" s="35">
        <v>50478900</v>
      </c>
      <c r="C89" s="35">
        <v>197.72</v>
      </c>
      <c r="D89">
        <v>200.05</v>
      </c>
      <c r="E89" s="35">
        <v>194.68</v>
      </c>
      <c r="F89" s="35">
        <v>197.01</v>
      </c>
    </row>
    <row r="90" spans="1:6" x14ac:dyDescent="0.25">
      <c r="A90" s="38">
        <v>45906</v>
      </c>
      <c r="B90" s="35">
        <v>68536700</v>
      </c>
      <c r="C90" s="35">
        <v>199.17</v>
      </c>
      <c r="D90">
        <v>199.44</v>
      </c>
      <c r="E90" s="35">
        <v>193.25</v>
      </c>
      <c r="F90" s="35">
        <v>195.77</v>
      </c>
    </row>
    <row r="91" spans="1:6" x14ac:dyDescent="0.25">
      <c r="A91" s="38">
        <v>45905</v>
      </c>
      <c r="B91" s="35">
        <v>51216500</v>
      </c>
      <c r="C91" s="35">
        <v>198.21</v>
      </c>
      <c r="D91">
        <v>200.65</v>
      </c>
      <c r="E91" s="35">
        <v>197.02</v>
      </c>
      <c r="F91" s="35">
        <v>198.03</v>
      </c>
    </row>
    <row r="92" spans="1:6" x14ac:dyDescent="0.25">
      <c r="A92" s="38">
        <v>45904</v>
      </c>
      <c r="B92" s="35">
        <v>69018500</v>
      </c>
      <c r="C92" s="35">
        <v>203.1</v>
      </c>
      <c r="D92">
        <v>204.1</v>
      </c>
      <c r="E92" s="35">
        <v>198.21</v>
      </c>
      <c r="F92" s="35">
        <v>198.4</v>
      </c>
    </row>
    <row r="93" spans="1:6" x14ac:dyDescent="0.25">
      <c r="A93" s="38">
        <v>45901</v>
      </c>
      <c r="B93" s="35">
        <v>101010600</v>
      </c>
      <c r="C93" s="35">
        <v>206.09</v>
      </c>
      <c r="D93">
        <v>206.99</v>
      </c>
      <c r="E93" s="35">
        <v>202.16</v>
      </c>
      <c r="F93" s="35">
        <v>204.85</v>
      </c>
    </row>
    <row r="94" spans="1:6" x14ac:dyDescent="0.25">
      <c r="A94" s="38">
        <v>45900</v>
      </c>
      <c r="B94" s="35">
        <v>57365700</v>
      </c>
      <c r="C94" s="35">
        <v>209.08</v>
      </c>
      <c r="D94">
        <v>214.56</v>
      </c>
      <c r="E94" s="35">
        <v>208.9</v>
      </c>
      <c r="F94" s="35">
        <v>212.8</v>
      </c>
    </row>
    <row r="95" spans="1:6" x14ac:dyDescent="0.25">
      <c r="A95" s="38">
        <v>45899</v>
      </c>
      <c r="B95" s="35">
        <v>52286500</v>
      </c>
      <c r="C95" s="35">
        <v>209.3</v>
      </c>
      <c r="D95">
        <v>213.58</v>
      </c>
      <c r="E95" s="35">
        <v>206.67</v>
      </c>
      <c r="F95" s="35">
        <v>211.98</v>
      </c>
    </row>
    <row r="96" spans="1:6" x14ac:dyDescent="0.25">
      <c r="A96" s="38">
        <v>45898</v>
      </c>
      <c r="B96" s="35">
        <v>36827600</v>
      </c>
      <c r="C96" s="35">
        <v>208.69</v>
      </c>
      <c r="D96">
        <v>212.24</v>
      </c>
      <c r="E96" s="35">
        <v>208.37</v>
      </c>
      <c r="F96" s="35">
        <v>210.69</v>
      </c>
    </row>
    <row r="97" spans="1:6" x14ac:dyDescent="0.25">
      <c r="A97" s="38">
        <v>45897</v>
      </c>
      <c r="B97" s="35">
        <v>38743100</v>
      </c>
      <c r="C97" s="35">
        <v>210</v>
      </c>
      <c r="D97">
        <v>211.5</v>
      </c>
      <c r="E97" s="35">
        <v>207.46</v>
      </c>
      <c r="F97" s="35">
        <v>209.63</v>
      </c>
    </row>
    <row r="98" spans="1:6" x14ac:dyDescent="0.25">
      <c r="A98" s="38">
        <v>45894</v>
      </c>
      <c r="B98" s="35">
        <v>38222300</v>
      </c>
      <c r="C98" s="35">
        <v>206.37</v>
      </c>
      <c r="D98">
        <v>209.75</v>
      </c>
      <c r="E98" s="35">
        <v>206.2</v>
      </c>
      <c r="F98" s="35">
        <v>208.77</v>
      </c>
    </row>
    <row r="99" spans="1:6" x14ac:dyDescent="0.25">
      <c r="A99" s="38">
        <v>45893</v>
      </c>
      <c r="B99" s="35">
        <v>47311000</v>
      </c>
      <c r="C99" s="35">
        <v>204.89</v>
      </c>
      <c r="D99">
        <v>208.83</v>
      </c>
      <c r="E99" s="35">
        <v>202.94</v>
      </c>
      <c r="F99" s="35">
        <v>207.86</v>
      </c>
    </row>
    <row r="100" spans="1:6" x14ac:dyDescent="0.25">
      <c r="A100" s="38">
        <v>45892</v>
      </c>
      <c r="B100" s="35">
        <v>52929200</v>
      </c>
      <c r="C100" s="35">
        <v>206</v>
      </c>
      <c r="D100">
        <v>208</v>
      </c>
      <c r="E100" s="35">
        <v>202.8</v>
      </c>
      <c r="F100" s="35">
        <v>204.1</v>
      </c>
    </row>
    <row r="101" spans="1:6" x14ac:dyDescent="0.25">
      <c r="A101" s="38">
        <v>45891</v>
      </c>
      <c r="B101" s="35">
        <v>52976400</v>
      </c>
      <c r="C101" s="35">
        <v>196.12</v>
      </c>
      <c r="D101">
        <v>201.59</v>
      </c>
      <c r="E101" s="35">
        <v>195.97</v>
      </c>
      <c r="F101" s="35">
        <v>199.25</v>
      </c>
    </row>
    <row r="102" spans="1:6" x14ac:dyDescent="0.25">
      <c r="A102" s="38">
        <v>45890</v>
      </c>
      <c r="B102" s="35">
        <v>46742500</v>
      </c>
      <c r="C102" s="35">
        <v>193.27</v>
      </c>
      <c r="D102">
        <v>193.8</v>
      </c>
      <c r="E102" s="35">
        <v>189.81</v>
      </c>
      <c r="F102" s="35">
        <v>192.69</v>
      </c>
    </row>
    <row r="103" spans="1:6" x14ac:dyDescent="0.25">
      <c r="A103" s="38">
        <v>45886</v>
      </c>
      <c r="B103" s="35">
        <v>52164700</v>
      </c>
      <c r="C103" s="35">
        <v>197.2</v>
      </c>
      <c r="D103">
        <v>198.83</v>
      </c>
      <c r="E103" s="35">
        <v>194.42</v>
      </c>
      <c r="F103" s="35">
        <v>196.5</v>
      </c>
    </row>
    <row r="104" spans="1:6" x14ac:dyDescent="0.25">
      <c r="A104" s="38">
        <v>45885</v>
      </c>
      <c r="B104" s="35">
        <v>59732400</v>
      </c>
      <c r="C104" s="35">
        <v>198.36</v>
      </c>
      <c r="D104">
        <v>200.7</v>
      </c>
      <c r="E104" s="35">
        <v>192.37</v>
      </c>
      <c r="F104" s="35">
        <v>193.8</v>
      </c>
    </row>
    <row r="105" spans="1:6" x14ac:dyDescent="0.25">
      <c r="A105" s="38">
        <v>45884</v>
      </c>
      <c r="B105" s="35">
        <v>51343900</v>
      </c>
      <c r="C105" s="35">
        <v>201.86</v>
      </c>
      <c r="D105">
        <v>203.51</v>
      </c>
      <c r="E105" s="35">
        <v>199.8</v>
      </c>
      <c r="F105" s="35">
        <v>201.65</v>
      </c>
    </row>
    <row r="106" spans="1:6" x14ac:dyDescent="0.25">
      <c r="A106" s="38">
        <v>45883</v>
      </c>
      <c r="B106" s="35">
        <v>101352900</v>
      </c>
      <c r="C106" s="35">
        <v>211.44</v>
      </c>
      <c r="D106">
        <v>212.94</v>
      </c>
      <c r="E106" s="35">
        <v>201.16</v>
      </c>
      <c r="F106" s="35">
        <v>202.03</v>
      </c>
    </row>
    <row r="107" spans="1:6" x14ac:dyDescent="0.25">
      <c r="A107" s="38">
        <v>45880</v>
      </c>
      <c r="B107" s="35">
        <v>87435900</v>
      </c>
      <c r="C107" s="35">
        <v>186.1</v>
      </c>
      <c r="D107">
        <v>199.54</v>
      </c>
      <c r="E107" s="35">
        <v>186.06</v>
      </c>
      <c r="F107" s="35">
        <v>197.67</v>
      </c>
    </row>
    <row r="108" spans="1:6" x14ac:dyDescent="0.25">
      <c r="A108" s="38">
        <v>45879</v>
      </c>
      <c r="B108" s="35">
        <v>121880000</v>
      </c>
      <c r="C108" s="35">
        <v>189.07</v>
      </c>
      <c r="D108">
        <v>194.78</v>
      </c>
      <c r="E108" s="35">
        <v>183</v>
      </c>
      <c r="F108" s="35">
        <v>189.96</v>
      </c>
    </row>
    <row r="109" spans="1:6" x14ac:dyDescent="0.25">
      <c r="A109" s="38">
        <v>45878</v>
      </c>
      <c r="B109" s="35">
        <v>184395900</v>
      </c>
      <c r="C109" s="35">
        <v>171.95</v>
      </c>
      <c r="D109">
        <v>200.61</v>
      </c>
      <c r="E109" s="35">
        <v>171.89</v>
      </c>
      <c r="F109" s="35">
        <v>198.36</v>
      </c>
    </row>
    <row r="110" spans="1:6" x14ac:dyDescent="0.25">
      <c r="A110" s="38">
        <v>45877</v>
      </c>
      <c r="B110" s="35">
        <v>120859500</v>
      </c>
      <c r="C110" s="35">
        <v>186.7</v>
      </c>
      <c r="D110">
        <v>190.34</v>
      </c>
      <c r="E110" s="35">
        <v>169.21</v>
      </c>
      <c r="F110" s="35">
        <v>172</v>
      </c>
    </row>
    <row r="111" spans="1:6" x14ac:dyDescent="0.25">
      <c r="A111" s="38">
        <v>45876</v>
      </c>
      <c r="B111" s="35">
        <v>160466300</v>
      </c>
      <c r="C111" s="35">
        <v>177.2</v>
      </c>
      <c r="D111">
        <v>194.15</v>
      </c>
      <c r="E111" s="35">
        <v>174.62</v>
      </c>
      <c r="F111" s="35">
        <v>181.02</v>
      </c>
    </row>
    <row r="112" spans="1:6" x14ac:dyDescent="0.25">
      <c r="A112" s="38">
        <v>45873</v>
      </c>
      <c r="B112" s="35">
        <v>125910900</v>
      </c>
      <c r="C112" s="35">
        <v>193.89</v>
      </c>
      <c r="D112">
        <v>199.88</v>
      </c>
      <c r="E112" s="35">
        <v>187.34</v>
      </c>
      <c r="F112" s="35">
        <v>187.92</v>
      </c>
    </row>
    <row r="113" spans="1:6" x14ac:dyDescent="0.25">
      <c r="A113" s="38">
        <v>45872</v>
      </c>
      <c r="B113" s="35">
        <v>103419000</v>
      </c>
      <c r="C113" s="35">
        <v>205.54</v>
      </c>
      <c r="D113">
        <v>207.49</v>
      </c>
      <c r="E113" s="35">
        <v>201.25</v>
      </c>
      <c r="F113" s="35">
        <v>202.69</v>
      </c>
    </row>
    <row r="114" spans="1:6" x14ac:dyDescent="0.25">
      <c r="A114" s="38">
        <v>45871</v>
      </c>
      <c r="B114" s="35">
        <v>35905900</v>
      </c>
      <c r="C114" s="35">
        <v>221.32</v>
      </c>
      <c r="D114">
        <v>225.19</v>
      </c>
      <c r="E114" s="35">
        <v>221.02</v>
      </c>
      <c r="F114" s="35">
        <v>223.34</v>
      </c>
    </row>
    <row r="115" spans="1:6" x14ac:dyDescent="0.25">
      <c r="A115" s="38">
        <v>45870</v>
      </c>
      <c r="B115" s="35">
        <v>36412700</v>
      </c>
      <c r="C115" s="35">
        <v>219.81</v>
      </c>
      <c r="D115">
        <v>223.68</v>
      </c>
      <c r="E115" s="35">
        <v>218.9</v>
      </c>
      <c r="F115" s="35">
        <v>222.65</v>
      </c>
    </row>
    <row r="116" spans="1:6" x14ac:dyDescent="0.25">
      <c r="A116" s="38">
        <v>45869</v>
      </c>
      <c r="B116" s="35">
        <v>65299300</v>
      </c>
      <c r="C116" s="35">
        <v>217.01</v>
      </c>
      <c r="D116">
        <v>225.62</v>
      </c>
      <c r="E116" s="35">
        <v>216.23</v>
      </c>
      <c r="F116" s="35">
        <v>221.59</v>
      </c>
    </row>
    <row r="117" spans="1:6" x14ac:dyDescent="0.25">
      <c r="A117" s="38">
        <v>45866</v>
      </c>
      <c r="B117" s="35">
        <v>39818600</v>
      </c>
      <c r="C117" s="35">
        <v>221.67</v>
      </c>
      <c r="D117">
        <v>223.81</v>
      </c>
      <c r="E117" s="35">
        <v>217.68</v>
      </c>
      <c r="F117" s="35">
        <v>217.37</v>
      </c>
    </row>
    <row r="118" spans="1:6" x14ac:dyDescent="0.25">
      <c r="A118" s="38">
        <v>45865</v>
      </c>
      <c r="B118" s="35">
        <v>37094800</v>
      </c>
      <c r="C118" s="35">
        <v>221.39</v>
      </c>
      <c r="D118">
        <v>224.99</v>
      </c>
      <c r="E118" s="35">
        <v>220.56</v>
      </c>
      <c r="F118" s="35">
        <v>223.3</v>
      </c>
    </row>
    <row r="119" spans="1:6" x14ac:dyDescent="0.25">
      <c r="A119" s="38">
        <v>45864</v>
      </c>
      <c r="B119" s="35">
        <v>34466100</v>
      </c>
      <c r="C119" s="35">
        <v>223.51</v>
      </c>
      <c r="D119">
        <v>225.02</v>
      </c>
      <c r="E119" s="35">
        <v>220.47</v>
      </c>
      <c r="F119" s="35">
        <v>220.99</v>
      </c>
    </row>
    <row r="120" spans="1:6" x14ac:dyDescent="0.25">
      <c r="A120" s="38">
        <v>45863</v>
      </c>
      <c r="B120" s="35">
        <v>34493600</v>
      </c>
      <c r="C120" s="35">
        <v>220.77</v>
      </c>
      <c r="D120">
        <v>224.1</v>
      </c>
      <c r="E120" s="35">
        <v>220.08</v>
      </c>
      <c r="F120" s="35">
        <v>223.2</v>
      </c>
    </row>
    <row r="121" spans="1:6" x14ac:dyDescent="0.25">
      <c r="A121" s="38">
        <v>45862</v>
      </c>
      <c r="B121" s="35">
        <v>44299500</v>
      </c>
      <c r="C121" s="35">
        <v>221</v>
      </c>
      <c r="D121">
        <v>221.48</v>
      </c>
      <c r="E121" s="35">
        <v>218.58</v>
      </c>
      <c r="F121" s="35">
        <v>220.19</v>
      </c>
    </row>
    <row r="122" spans="1:6" x14ac:dyDescent="0.25">
      <c r="A122" s="38">
        <v>45859</v>
      </c>
      <c r="B122" s="35">
        <v>94127800</v>
      </c>
      <c r="C122" s="35">
        <v>211.56</v>
      </c>
      <c r="D122">
        <v>218.84</v>
      </c>
      <c r="E122" s="35">
        <v>211.28</v>
      </c>
      <c r="F122" s="35">
        <v>217.74</v>
      </c>
    </row>
    <row r="123" spans="1:6" x14ac:dyDescent="0.25">
      <c r="A123" s="38">
        <v>45858</v>
      </c>
      <c r="B123" s="35">
        <v>48862900</v>
      </c>
      <c r="C123" s="35">
        <v>213.99</v>
      </c>
      <c r="D123">
        <v>217.49</v>
      </c>
      <c r="E123" s="35">
        <v>212.22</v>
      </c>
      <c r="F123" s="35">
        <v>213.58</v>
      </c>
    </row>
    <row r="124" spans="1:6" x14ac:dyDescent="0.25">
      <c r="A124" s="38">
        <v>45857</v>
      </c>
      <c r="B124" s="35">
        <v>54385400</v>
      </c>
      <c r="C124" s="35">
        <v>214.22</v>
      </c>
      <c r="D124">
        <v>218.76</v>
      </c>
      <c r="E124" s="35">
        <v>213.75</v>
      </c>
      <c r="F124" s="35">
        <v>214.71</v>
      </c>
    </row>
    <row r="125" spans="1:6" x14ac:dyDescent="0.25">
      <c r="A125" s="38">
        <v>45856</v>
      </c>
      <c r="B125" s="35">
        <v>42432400</v>
      </c>
      <c r="C125" s="35">
        <v>214.16</v>
      </c>
      <c r="D125">
        <v>215.15</v>
      </c>
      <c r="E125" s="35">
        <v>211.49</v>
      </c>
      <c r="F125" s="35">
        <v>212.17</v>
      </c>
    </row>
    <row r="126" spans="1:6" x14ac:dyDescent="0.25">
      <c r="A126" s="38">
        <v>45855</v>
      </c>
      <c r="B126" s="35">
        <v>48073400</v>
      </c>
      <c r="C126" s="35">
        <v>213.31</v>
      </c>
      <c r="D126">
        <v>215.22</v>
      </c>
      <c r="E126" s="35">
        <v>209.97</v>
      </c>
      <c r="F126" s="35">
        <v>213.48</v>
      </c>
    </row>
    <row r="127" spans="1:6" x14ac:dyDescent="0.25">
      <c r="A127" s="38">
        <v>45852</v>
      </c>
      <c r="B127" s="35">
        <v>60107600</v>
      </c>
      <c r="C127" s="35">
        <v>211.25</v>
      </c>
      <c r="D127">
        <v>213.95</v>
      </c>
      <c r="E127" s="35">
        <v>209.58</v>
      </c>
      <c r="F127" s="35">
        <v>212.97</v>
      </c>
    </row>
    <row r="128" spans="1:6" x14ac:dyDescent="0.25">
      <c r="A128" s="38">
        <v>45851</v>
      </c>
      <c r="B128" s="35">
        <v>61368300</v>
      </c>
      <c r="C128" s="35">
        <v>215.95</v>
      </c>
      <c r="D128">
        <v>216.84</v>
      </c>
      <c r="E128" s="35">
        <v>208.42</v>
      </c>
      <c r="F128" s="35">
        <v>209.17</v>
      </c>
    </row>
    <row r="129" spans="1:6" x14ac:dyDescent="0.25">
      <c r="A129" s="38">
        <v>45850</v>
      </c>
      <c r="B129" s="35">
        <v>62547500</v>
      </c>
      <c r="C129" s="35">
        <v>220.14</v>
      </c>
      <c r="D129">
        <v>221.75</v>
      </c>
      <c r="E129" s="35">
        <v>214.91</v>
      </c>
      <c r="F129" s="35">
        <v>216.45</v>
      </c>
    </row>
    <row r="130" spans="1:6" x14ac:dyDescent="0.25">
      <c r="A130" s="38">
        <v>45849</v>
      </c>
      <c r="B130" s="35">
        <v>76137400</v>
      </c>
      <c r="C130" s="35">
        <v>223.81</v>
      </c>
      <c r="D130">
        <v>225.84</v>
      </c>
      <c r="E130" s="35">
        <v>217.45</v>
      </c>
      <c r="F130" s="35">
        <v>220.3</v>
      </c>
    </row>
    <row r="131" spans="1:6" x14ac:dyDescent="0.25">
      <c r="A131" s="38">
        <v>45848</v>
      </c>
      <c r="B131" s="35">
        <v>72071200</v>
      </c>
      <c r="C131" s="35">
        <v>235.54</v>
      </c>
      <c r="D131">
        <v>236.16</v>
      </c>
      <c r="E131" s="35">
        <v>224.22</v>
      </c>
      <c r="F131" s="35">
        <v>226.92</v>
      </c>
    </row>
    <row r="132" spans="1:6" x14ac:dyDescent="0.25">
      <c r="A132" s="38">
        <v>45845</v>
      </c>
      <c r="B132" s="35">
        <v>46273600</v>
      </c>
      <c r="C132" s="35">
        <v>235.11</v>
      </c>
      <c r="D132">
        <v>241.37</v>
      </c>
      <c r="E132" s="35">
        <v>234.76</v>
      </c>
      <c r="F132" s="35">
        <v>238.49</v>
      </c>
    </row>
    <row r="133" spans="1:6" x14ac:dyDescent="0.25">
      <c r="A133" s="38">
        <v>45844</v>
      </c>
      <c r="B133" s="35">
        <v>45170400</v>
      </c>
      <c r="C133" s="35">
        <v>234.44</v>
      </c>
      <c r="D133">
        <v>237.86</v>
      </c>
      <c r="E133" s="35">
        <v>233.16</v>
      </c>
      <c r="F133" s="35">
        <v>234.76</v>
      </c>
    </row>
    <row r="134" spans="1:6" x14ac:dyDescent="0.25">
      <c r="A134" s="38">
        <v>45843</v>
      </c>
      <c r="B134" s="35">
        <v>47227600</v>
      </c>
      <c r="C134" s="35">
        <v>235.42</v>
      </c>
      <c r="D134">
        <v>236.55</v>
      </c>
      <c r="E134" s="35">
        <v>229.23</v>
      </c>
      <c r="F134" s="35">
        <v>235.16</v>
      </c>
    </row>
    <row r="135" spans="1:6" x14ac:dyDescent="0.25">
      <c r="A135" s="38">
        <v>45842</v>
      </c>
      <c r="B135" s="35">
        <v>53798100</v>
      </c>
      <c r="C135" s="35">
        <v>237.71</v>
      </c>
      <c r="D135">
        <v>240.07</v>
      </c>
      <c r="E135" s="35">
        <v>234.68</v>
      </c>
      <c r="F135" s="35">
        <v>235.35</v>
      </c>
    </row>
    <row r="136" spans="1:6" x14ac:dyDescent="0.25">
      <c r="A136" s="38">
        <v>45841</v>
      </c>
      <c r="B136" s="35">
        <v>47184000</v>
      </c>
      <c r="C136" s="35">
        <v>241.79</v>
      </c>
      <c r="D136">
        <v>244.03</v>
      </c>
      <c r="E136" s="35">
        <v>236.11</v>
      </c>
      <c r="F136" s="35">
        <v>237.45</v>
      </c>
    </row>
    <row r="137" spans="1:6" x14ac:dyDescent="0.25">
      <c r="A137" s="38">
        <v>45838</v>
      </c>
      <c r="B137" s="35">
        <v>56833400</v>
      </c>
      <c r="C137" s="35">
        <v>236.95</v>
      </c>
      <c r="D137">
        <v>242.09</v>
      </c>
      <c r="E137" s="35">
        <v>230.2</v>
      </c>
      <c r="F137" s="35">
        <v>241.25</v>
      </c>
    </row>
    <row r="138" spans="1:6" x14ac:dyDescent="0.25">
      <c r="A138" s="38">
        <v>45837</v>
      </c>
      <c r="B138" s="35">
        <v>41153600</v>
      </c>
      <c r="C138" s="35">
        <v>239.41</v>
      </c>
      <c r="D138">
        <v>242.46</v>
      </c>
      <c r="E138" s="35">
        <v>237.06</v>
      </c>
      <c r="F138" s="35">
        <v>236.72</v>
      </c>
    </row>
    <row r="139" spans="1:6" x14ac:dyDescent="0.25">
      <c r="A139" s="38">
        <v>45836</v>
      </c>
      <c r="B139" s="35">
        <v>44433600</v>
      </c>
      <c r="C139" s="35">
        <v>244.33</v>
      </c>
      <c r="D139">
        <v>244.98</v>
      </c>
      <c r="E139" s="35">
        <v>239.13</v>
      </c>
      <c r="F139" s="35">
        <v>239.77</v>
      </c>
    </row>
    <row r="140" spans="1:6" x14ac:dyDescent="0.25">
      <c r="A140" s="38">
        <v>45835</v>
      </c>
      <c r="B140" s="35">
        <v>48013300</v>
      </c>
      <c r="C140" s="35">
        <v>248</v>
      </c>
      <c r="D140">
        <v>250</v>
      </c>
      <c r="E140" s="35">
        <v>244.91</v>
      </c>
      <c r="F140" s="35">
        <v>246.44</v>
      </c>
    </row>
    <row r="141" spans="1:6" x14ac:dyDescent="0.25">
      <c r="A141" s="38">
        <v>45834</v>
      </c>
      <c r="B141" s="35">
        <v>51326400</v>
      </c>
      <c r="C141" s="35">
        <v>244.93</v>
      </c>
      <c r="D141">
        <v>248.86</v>
      </c>
      <c r="E141" s="35">
        <v>244.42</v>
      </c>
      <c r="F141" s="35">
        <v>246.5</v>
      </c>
    </row>
    <row r="142" spans="1:6" x14ac:dyDescent="0.25">
      <c r="A142" s="38">
        <v>45831</v>
      </c>
      <c r="B142" s="35">
        <v>53197400</v>
      </c>
      <c r="C142" s="35">
        <v>245.95</v>
      </c>
      <c r="D142">
        <v>248.69</v>
      </c>
      <c r="E142" s="35">
        <v>245.22</v>
      </c>
      <c r="F142" s="35">
        <v>244.95</v>
      </c>
    </row>
    <row r="143" spans="1:6" x14ac:dyDescent="0.25">
      <c r="A143" s="38">
        <v>45830</v>
      </c>
      <c r="B143" s="35">
        <v>32316900</v>
      </c>
      <c r="C143" s="35">
        <v>244.94</v>
      </c>
      <c r="D143">
        <v>246.78</v>
      </c>
      <c r="E143" s="35">
        <v>244.29</v>
      </c>
      <c r="F143" s="35">
        <v>245.23</v>
      </c>
    </row>
    <row r="144" spans="1:6" x14ac:dyDescent="0.25">
      <c r="A144" s="38">
        <v>45829</v>
      </c>
      <c r="B144" s="35">
        <v>32204200</v>
      </c>
      <c r="C144" s="35">
        <v>244.66</v>
      </c>
      <c r="D144">
        <v>246.01</v>
      </c>
      <c r="E144" s="35">
        <v>243.16</v>
      </c>
      <c r="F144" s="35">
        <v>244.27</v>
      </c>
    </row>
    <row r="145" spans="1:6" x14ac:dyDescent="0.25">
      <c r="A145" s="38">
        <v>45828</v>
      </c>
      <c r="B145" s="35">
        <v>48822500</v>
      </c>
      <c r="C145" s="35">
        <v>244.15</v>
      </c>
      <c r="D145">
        <v>245.18</v>
      </c>
      <c r="E145" s="35">
        <v>241.84</v>
      </c>
      <c r="F145" s="35">
        <v>243.87</v>
      </c>
    </row>
    <row r="146" spans="1:6" x14ac:dyDescent="0.25">
      <c r="A146" s="38">
        <v>45824</v>
      </c>
      <c r="B146" s="35">
        <v>40896200</v>
      </c>
      <c r="C146" s="35">
        <v>241.25</v>
      </c>
      <c r="D146">
        <v>245.55</v>
      </c>
      <c r="E146" s="35">
        <v>240.99</v>
      </c>
      <c r="F146" s="35">
        <v>244</v>
      </c>
    </row>
    <row r="147" spans="1:6" x14ac:dyDescent="0.25">
      <c r="A147" s="38">
        <v>45823</v>
      </c>
      <c r="B147" s="35">
        <v>53614100</v>
      </c>
      <c r="C147" s="35">
        <v>236.91</v>
      </c>
      <c r="D147">
        <v>242.34</v>
      </c>
      <c r="E147" s="35">
        <v>235.57</v>
      </c>
      <c r="F147" s="35">
        <v>240.94</v>
      </c>
    </row>
    <row r="148" spans="1:6" x14ac:dyDescent="0.25">
      <c r="A148" s="38">
        <v>45822</v>
      </c>
      <c r="B148" s="35">
        <v>45243300</v>
      </c>
      <c r="C148" s="35">
        <v>231.2</v>
      </c>
      <c r="D148">
        <v>236.96</v>
      </c>
      <c r="E148" s="35">
        <v>230.68</v>
      </c>
      <c r="F148" s="35">
        <v>236.29</v>
      </c>
    </row>
    <row r="149" spans="1:6" x14ac:dyDescent="0.25">
      <c r="A149" s="38">
        <v>45821</v>
      </c>
      <c r="B149" s="35">
        <v>53718400</v>
      </c>
      <c r="C149" s="35">
        <v>228.2</v>
      </c>
      <c r="D149">
        <v>235.23</v>
      </c>
      <c r="E149" s="35">
        <v>228.13</v>
      </c>
      <c r="F149" s="35">
        <v>232.05</v>
      </c>
    </row>
    <row r="150" spans="1:6" x14ac:dyDescent="0.25">
      <c r="A150" s="38">
        <v>45820</v>
      </c>
      <c r="B150" s="35">
        <v>33115600</v>
      </c>
      <c r="C150" s="35">
        <v>229.57</v>
      </c>
      <c r="D150">
        <v>230.59</v>
      </c>
      <c r="E150" s="35">
        <v>227.2</v>
      </c>
      <c r="F150" s="35">
        <v>227.09</v>
      </c>
    </row>
    <row r="151" spans="1:6" x14ac:dyDescent="0.25">
      <c r="A151" s="38">
        <v>45817</v>
      </c>
      <c r="B151" s="35">
        <v>39707200</v>
      </c>
      <c r="C151" s="35">
        <v>232.6</v>
      </c>
      <c r="D151">
        <v>234</v>
      </c>
      <c r="E151" s="35">
        <v>227.26</v>
      </c>
      <c r="F151" s="35">
        <v>226.82</v>
      </c>
    </row>
    <row r="152" spans="1:6" x14ac:dyDescent="0.25">
      <c r="A152" s="38">
        <v>45816</v>
      </c>
      <c r="B152" s="35">
        <v>29925300</v>
      </c>
      <c r="C152" s="35">
        <v>231.29</v>
      </c>
      <c r="D152">
        <v>233.8</v>
      </c>
      <c r="E152" s="35">
        <v>230.43</v>
      </c>
      <c r="F152" s="35">
        <v>232.4</v>
      </c>
    </row>
    <row r="153" spans="1:6" x14ac:dyDescent="0.25">
      <c r="A153" s="38">
        <v>45815</v>
      </c>
      <c r="B153" s="35">
        <v>39620300</v>
      </c>
      <c r="C153" s="35">
        <v>228.53</v>
      </c>
      <c r="D153">
        <v>232.67</v>
      </c>
      <c r="E153" s="35">
        <v>228.27</v>
      </c>
      <c r="F153" s="35">
        <v>231.65</v>
      </c>
    </row>
    <row r="154" spans="1:6" x14ac:dyDescent="0.25">
      <c r="A154" s="38">
        <v>45814</v>
      </c>
      <c r="B154" s="35">
        <v>45067300</v>
      </c>
      <c r="C154" s="35">
        <v>227.25</v>
      </c>
      <c r="D154">
        <v>233.13</v>
      </c>
      <c r="E154" s="35">
        <v>226.65</v>
      </c>
      <c r="F154" s="35">
        <v>231.98</v>
      </c>
    </row>
    <row r="155" spans="1:6" x14ac:dyDescent="0.25">
      <c r="A155" s="38">
        <v>45813</v>
      </c>
      <c r="B155" s="35">
        <v>73063300</v>
      </c>
      <c r="C155" s="35">
        <v>229.99</v>
      </c>
      <c r="D155">
        <v>231.83</v>
      </c>
      <c r="E155" s="35">
        <v>225.7</v>
      </c>
      <c r="F155" s="35">
        <v>227.2</v>
      </c>
    </row>
    <row r="156" spans="1:6" x14ac:dyDescent="0.25">
      <c r="A156" s="38">
        <v>45810</v>
      </c>
      <c r="B156" s="35">
        <v>100959800</v>
      </c>
      <c r="C156" s="35">
        <v>247.19</v>
      </c>
      <c r="D156">
        <v>247.19</v>
      </c>
      <c r="E156" s="35">
        <v>233.44</v>
      </c>
      <c r="F156" s="35">
        <v>235.17</v>
      </c>
    </row>
    <row r="157" spans="1:6" x14ac:dyDescent="0.25">
      <c r="A157" s="38">
        <v>45809</v>
      </c>
      <c r="B157" s="35">
        <v>55658300</v>
      </c>
      <c r="C157" s="35">
        <v>238.67</v>
      </c>
      <c r="D157">
        <v>240.79</v>
      </c>
      <c r="E157" s="35">
        <v>237.21</v>
      </c>
      <c r="F157" s="35">
        <v>236.75</v>
      </c>
    </row>
    <row r="158" spans="1:6" x14ac:dyDescent="0.25">
      <c r="A158" s="38">
        <v>45808</v>
      </c>
      <c r="B158" s="35">
        <v>45486100</v>
      </c>
      <c r="C158" s="35">
        <v>234.12</v>
      </c>
      <c r="D158">
        <v>239.86</v>
      </c>
      <c r="E158" s="35">
        <v>234.01</v>
      </c>
      <c r="F158" s="35">
        <v>238.51</v>
      </c>
    </row>
    <row r="159" spans="1:6" x14ac:dyDescent="0.25">
      <c r="A159" s="38">
        <v>45807</v>
      </c>
      <c r="B159" s="35">
        <v>75707600</v>
      </c>
      <c r="C159" s="35">
        <v>230.85</v>
      </c>
      <c r="D159">
        <v>240.19</v>
      </c>
      <c r="E159" s="35">
        <v>230.81</v>
      </c>
      <c r="F159" s="35">
        <v>237.42</v>
      </c>
    </row>
    <row r="160" spans="1:6" x14ac:dyDescent="0.25">
      <c r="A160" s="38">
        <v>45806</v>
      </c>
      <c r="B160" s="35">
        <v>94863400</v>
      </c>
      <c r="C160" s="35">
        <v>224.02</v>
      </c>
      <c r="D160">
        <v>232.15</v>
      </c>
      <c r="E160" s="35">
        <v>223.98</v>
      </c>
      <c r="F160" s="35">
        <v>229.05</v>
      </c>
    </row>
    <row r="161" spans="1:6" x14ac:dyDescent="0.25">
      <c r="A161" s="38">
        <v>45803</v>
      </c>
      <c r="B161" s="35">
        <v>54697900</v>
      </c>
      <c r="C161" s="35">
        <v>224.78</v>
      </c>
      <c r="D161">
        <v>225.63</v>
      </c>
      <c r="E161" s="35">
        <v>221.41</v>
      </c>
      <c r="F161" s="35">
        <v>221.99</v>
      </c>
    </row>
    <row r="162" spans="1:6" x14ac:dyDescent="0.25">
      <c r="A162" s="38">
        <v>45802</v>
      </c>
      <c r="B162" s="35">
        <v>60234800</v>
      </c>
      <c r="C162" s="35">
        <v>224.74</v>
      </c>
      <c r="D162">
        <v>227.03</v>
      </c>
      <c r="E162" s="35">
        <v>222.3</v>
      </c>
      <c r="F162" s="35">
        <v>222.87</v>
      </c>
    </row>
    <row r="163" spans="1:6" x14ac:dyDescent="0.25">
      <c r="A163" s="38">
        <v>45801</v>
      </c>
      <c r="B163" s="35">
        <v>64126500</v>
      </c>
      <c r="C163" s="35">
        <v>219.79</v>
      </c>
      <c r="D163">
        <v>224.12</v>
      </c>
      <c r="E163" s="35">
        <v>219.79</v>
      </c>
      <c r="F163" s="35">
        <v>223.04</v>
      </c>
    </row>
    <row r="164" spans="1:6" x14ac:dyDescent="0.25">
      <c r="A164" s="38">
        <v>45800</v>
      </c>
      <c r="B164" s="35">
        <v>98070400</v>
      </c>
      <c r="C164" s="35">
        <v>224</v>
      </c>
      <c r="D164">
        <v>224.42</v>
      </c>
      <c r="E164" s="35">
        <v>219.38</v>
      </c>
      <c r="F164" s="35">
        <v>221.85</v>
      </c>
    </row>
    <row r="165" spans="1:6" x14ac:dyDescent="0.25">
      <c r="A165" s="38">
        <v>45796</v>
      </c>
      <c r="B165" s="35">
        <v>68488300</v>
      </c>
      <c r="C165" s="35">
        <v>232.12</v>
      </c>
      <c r="D165">
        <v>232.29</v>
      </c>
      <c r="E165" s="35">
        <v>228.48</v>
      </c>
      <c r="F165" s="35">
        <v>229.17</v>
      </c>
    </row>
    <row r="166" spans="1:6" x14ac:dyDescent="0.25">
      <c r="A166" s="38">
        <v>45795</v>
      </c>
      <c r="B166" s="35">
        <v>71759100</v>
      </c>
      <c r="C166" s="35">
        <v>237.35</v>
      </c>
      <c r="D166">
        <v>238.01</v>
      </c>
      <c r="E166" s="35">
        <v>228.03</v>
      </c>
      <c r="F166" s="35">
        <v>227.45</v>
      </c>
    </row>
    <row r="167" spans="1:6" x14ac:dyDescent="0.25">
      <c r="A167" s="38">
        <v>45794</v>
      </c>
      <c r="B167" s="35">
        <v>39832000</v>
      </c>
      <c r="C167" s="35">
        <v>234.64</v>
      </c>
      <c r="D167">
        <v>238.96</v>
      </c>
      <c r="E167" s="35">
        <v>234.43</v>
      </c>
      <c r="F167" s="35">
        <v>237.03</v>
      </c>
    </row>
    <row r="168" spans="1:6" x14ac:dyDescent="0.25">
      <c r="A168" s="38">
        <v>45793</v>
      </c>
      <c r="B168" s="35">
        <v>39435300</v>
      </c>
      <c r="C168" s="35">
        <v>234.75</v>
      </c>
      <c r="D168">
        <v>236.12</v>
      </c>
      <c r="E168" s="35">
        <v>232.47</v>
      </c>
      <c r="F168" s="35">
        <v>232.45</v>
      </c>
    </row>
    <row r="169" spans="1:6" x14ac:dyDescent="0.25">
      <c r="A169" s="38">
        <v>45792</v>
      </c>
      <c r="B169" s="35">
        <v>49630700</v>
      </c>
      <c r="C169" s="35">
        <v>233.53</v>
      </c>
      <c r="D169">
        <v>234.67</v>
      </c>
      <c r="E169" s="35">
        <v>229.72</v>
      </c>
      <c r="F169" s="35">
        <v>233.57</v>
      </c>
    </row>
    <row r="170" spans="1:6" x14ac:dyDescent="0.25">
      <c r="A170" s="38">
        <v>45789</v>
      </c>
      <c r="B170" s="35">
        <v>61710900</v>
      </c>
      <c r="C170" s="35">
        <v>240.01</v>
      </c>
      <c r="D170">
        <v>240.16</v>
      </c>
      <c r="E170" s="35">
        <v>233</v>
      </c>
      <c r="F170" s="35">
        <v>236.01</v>
      </c>
    </row>
    <row r="171" spans="1:6" x14ac:dyDescent="0.25">
      <c r="A171" s="38">
        <v>45787</v>
      </c>
      <c r="B171" s="35">
        <v>37628900</v>
      </c>
      <c r="C171" s="35">
        <v>241.92</v>
      </c>
      <c r="D171">
        <v>243.71</v>
      </c>
      <c r="E171" s="35">
        <v>240.05</v>
      </c>
      <c r="F171" s="35">
        <v>241.84</v>
      </c>
    </row>
    <row r="172" spans="1:6" x14ac:dyDescent="0.25">
      <c r="A172" s="38">
        <v>45786</v>
      </c>
      <c r="B172" s="35">
        <v>40856000</v>
      </c>
      <c r="C172" s="35">
        <v>242.98</v>
      </c>
      <c r="D172">
        <v>245.55</v>
      </c>
      <c r="E172" s="35">
        <v>241.35</v>
      </c>
      <c r="F172" s="35">
        <v>241.35</v>
      </c>
    </row>
    <row r="173" spans="1:6" x14ac:dyDescent="0.25">
      <c r="A173" s="38">
        <v>45785</v>
      </c>
      <c r="B173" s="35">
        <v>45045600</v>
      </c>
      <c r="C173" s="35">
        <v>244.31</v>
      </c>
      <c r="D173">
        <v>247.33</v>
      </c>
      <c r="E173" s="35">
        <v>243.2</v>
      </c>
      <c r="F173" s="35">
        <v>244.13</v>
      </c>
    </row>
    <row r="174" spans="1:6" x14ac:dyDescent="0.25">
      <c r="A174" s="38">
        <v>45782</v>
      </c>
      <c r="B174" s="35">
        <v>40244100</v>
      </c>
      <c r="C174" s="35">
        <v>243.36</v>
      </c>
      <c r="D174">
        <v>244.18</v>
      </c>
      <c r="E174" s="35">
        <v>241.89</v>
      </c>
      <c r="F174" s="35">
        <v>242.5</v>
      </c>
    </row>
    <row r="175" spans="1:6" x14ac:dyDescent="0.25">
      <c r="A175" s="38">
        <v>45781</v>
      </c>
      <c r="B175" s="35">
        <v>55740700</v>
      </c>
      <c r="C175" s="35">
        <v>248.93</v>
      </c>
      <c r="D175">
        <v>249.1</v>
      </c>
      <c r="E175" s="35">
        <v>241.82</v>
      </c>
      <c r="F175" s="35">
        <v>242.99</v>
      </c>
    </row>
    <row r="176" spans="1:6" x14ac:dyDescent="0.25">
      <c r="A176" s="38">
        <v>45779</v>
      </c>
      <c r="B176" s="35">
        <v>39480700</v>
      </c>
      <c r="C176" s="35">
        <v>252.44</v>
      </c>
      <c r="D176">
        <v>253.28</v>
      </c>
      <c r="E176" s="35">
        <v>249.43</v>
      </c>
      <c r="F176" s="35">
        <v>249.53</v>
      </c>
    </row>
    <row r="177" spans="1:6" x14ac:dyDescent="0.25">
      <c r="A177" s="38">
        <v>45778</v>
      </c>
      <c r="B177" s="35">
        <v>35557500</v>
      </c>
      <c r="C177" s="35">
        <v>252.23</v>
      </c>
      <c r="D177">
        <v>253.5</v>
      </c>
      <c r="E177" s="35">
        <v>250.75</v>
      </c>
      <c r="F177" s="35">
        <v>251.31</v>
      </c>
    </row>
    <row r="178" spans="1:6" x14ac:dyDescent="0.25">
      <c r="A178" s="38">
        <v>45775</v>
      </c>
      <c r="B178" s="35">
        <v>42355300</v>
      </c>
      <c r="C178" s="35">
        <v>257.83</v>
      </c>
      <c r="D178">
        <v>258.7</v>
      </c>
      <c r="E178" s="35">
        <v>253.06</v>
      </c>
      <c r="F178" s="35">
        <v>254.69</v>
      </c>
    </row>
    <row r="179" spans="1:6" x14ac:dyDescent="0.25">
      <c r="A179" s="38">
        <v>45774</v>
      </c>
      <c r="B179" s="35">
        <v>27237100</v>
      </c>
      <c r="C179" s="35">
        <v>258.19</v>
      </c>
      <c r="D179">
        <v>260.10000000000002</v>
      </c>
      <c r="E179" s="35">
        <v>257.63</v>
      </c>
      <c r="F179" s="35">
        <v>258.10000000000002</v>
      </c>
    </row>
    <row r="180" spans="1:6" x14ac:dyDescent="0.25">
      <c r="A180" s="38">
        <v>45772</v>
      </c>
      <c r="B180" s="35">
        <v>23234700</v>
      </c>
      <c r="C180" s="35">
        <v>255.49</v>
      </c>
      <c r="D180">
        <v>258.20999999999998</v>
      </c>
      <c r="E180" s="35">
        <v>255.29</v>
      </c>
      <c r="F180" s="35">
        <v>257.29000000000002</v>
      </c>
    </row>
    <row r="181" spans="1:6" x14ac:dyDescent="0.25">
      <c r="A181" s="38">
        <v>45771</v>
      </c>
      <c r="B181" s="35">
        <v>40858800</v>
      </c>
      <c r="C181" s="35">
        <v>254.77</v>
      </c>
      <c r="D181">
        <v>255.65</v>
      </c>
      <c r="E181" s="35">
        <v>253.45</v>
      </c>
      <c r="F181" s="35">
        <v>254.37</v>
      </c>
    </row>
    <row r="182" spans="1:6" x14ac:dyDescent="0.25">
      <c r="A182" s="38">
        <v>45768</v>
      </c>
      <c r="B182" s="35">
        <v>147495300</v>
      </c>
      <c r="C182" s="35">
        <v>248.04</v>
      </c>
      <c r="D182">
        <v>255</v>
      </c>
      <c r="E182" s="35">
        <v>245.69</v>
      </c>
      <c r="F182" s="35">
        <v>253.59</v>
      </c>
    </row>
    <row r="183" spans="1:6" x14ac:dyDescent="0.25">
      <c r="A183" s="38">
        <v>45767</v>
      </c>
      <c r="B183" s="35">
        <v>60882300</v>
      </c>
      <c r="C183" s="35">
        <v>247.5</v>
      </c>
      <c r="D183">
        <v>252</v>
      </c>
      <c r="E183" s="35">
        <v>247.09</v>
      </c>
      <c r="F183" s="35">
        <v>248.91</v>
      </c>
    </row>
    <row r="184" spans="1:6" x14ac:dyDescent="0.25">
      <c r="A184" s="38">
        <v>45766</v>
      </c>
      <c r="B184" s="35">
        <v>56774100</v>
      </c>
      <c r="C184" s="35">
        <v>252.16</v>
      </c>
      <c r="D184">
        <v>254.28</v>
      </c>
      <c r="E184" s="35">
        <v>247.74</v>
      </c>
      <c r="F184" s="35">
        <v>247.17</v>
      </c>
    </row>
    <row r="185" spans="1:6" x14ac:dyDescent="0.25">
      <c r="A185" s="38">
        <v>45765</v>
      </c>
      <c r="B185" s="35">
        <v>51356400</v>
      </c>
      <c r="C185" s="35">
        <v>250.08</v>
      </c>
      <c r="D185">
        <v>253.83</v>
      </c>
      <c r="E185" s="35">
        <v>249.78</v>
      </c>
      <c r="F185" s="35">
        <v>252.58</v>
      </c>
    </row>
    <row r="186" spans="1:6" x14ac:dyDescent="0.25">
      <c r="A186" s="38">
        <v>45764</v>
      </c>
      <c r="B186" s="35">
        <v>51694800</v>
      </c>
      <c r="C186" s="35">
        <v>247.99</v>
      </c>
      <c r="D186">
        <v>251.38</v>
      </c>
      <c r="E186" s="35">
        <v>247.65</v>
      </c>
      <c r="F186" s="35">
        <v>250.15</v>
      </c>
    </row>
    <row r="187" spans="1:6" x14ac:dyDescent="0.25">
      <c r="A187" s="38">
        <v>45761</v>
      </c>
      <c r="B187" s="35">
        <v>33155300</v>
      </c>
      <c r="C187" s="35">
        <v>247.82</v>
      </c>
      <c r="D187">
        <v>249.29</v>
      </c>
      <c r="E187" s="35">
        <v>246.24</v>
      </c>
      <c r="F187" s="35">
        <v>247.25</v>
      </c>
    </row>
    <row r="188" spans="1:6" x14ac:dyDescent="0.25">
      <c r="A188" s="38">
        <v>45760</v>
      </c>
      <c r="B188" s="35">
        <v>32777500</v>
      </c>
      <c r="C188" s="35">
        <v>246.89</v>
      </c>
      <c r="D188">
        <v>248.74</v>
      </c>
      <c r="E188" s="35">
        <v>245.68</v>
      </c>
      <c r="F188" s="35">
        <v>247.08</v>
      </c>
    </row>
    <row r="189" spans="1:6" x14ac:dyDescent="0.25">
      <c r="A189" s="38">
        <v>45759</v>
      </c>
      <c r="B189" s="35">
        <v>45205800</v>
      </c>
      <c r="C189" s="35">
        <v>247.96</v>
      </c>
      <c r="D189">
        <v>250.8</v>
      </c>
      <c r="E189" s="35">
        <v>246.26</v>
      </c>
      <c r="F189" s="35">
        <v>245.62</v>
      </c>
    </row>
    <row r="190" spans="1:6" x14ac:dyDescent="0.25">
      <c r="A190" s="38">
        <v>45758</v>
      </c>
      <c r="B190" s="35">
        <v>36914800</v>
      </c>
      <c r="C190" s="35">
        <v>246.89</v>
      </c>
      <c r="D190">
        <v>248.21</v>
      </c>
      <c r="E190" s="35">
        <v>245.34</v>
      </c>
      <c r="F190" s="35">
        <v>246.89</v>
      </c>
    </row>
    <row r="191" spans="1:6" x14ac:dyDescent="0.25">
      <c r="A191" s="38">
        <v>45757</v>
      </c>
      <c r="B191" s="35">
        <v>44649200</v>
      </c>
      <c r="C191" s="35">
        <v>241.83</v>
      </c>
      <c r="D191">
        <v>247.24</v>
      </c>
      <c r="E191" s="35">
        <v>241.75</v>
      </c>
      <c r="F191" s="35">
        <v>245.88</v>
      </c>
    </row>
    <row r="192" spans="1:6" x14ac:dyDescent="0.25">
      <c r="A192" s="38">
        <v>45754</v>
      </c>
      <c r="B192" s="35">
        <v>36870600</v>
      </c>
      <c r="C192" s="35">
        <v>242.91</v>
      </c>
      <c r="D192">
        <v>244.63</v>
      </c>
      <c r="E192" s="35">
        <v>242.08</v>
      </c>
      <c r="F192" s="35">
        <v>241.98</v>
      </c>
    </row>
    <row r="193" spans="1:6" x14ac:dyDescent="0.25">
      <c r="A193" s="38">
        <v>45753</v>
      </c>
      <c r="B193" s="35">
        <v>40033900</v>
      </c>
      <c r="C193" s="35">
        <v>243.99</v>
      </c>
      <c r="D193">
        <v>244.54</v>
      </c>
      <c r="E193" s="35">
        <v>242.13</v>
      </c>
      <c r="F193" s="35">
        <v>242.18</v>
      </c>
    </row>
    <row r="194" spans="1:6" x14ac:dyDescent="0.25">
      <c r="A194" s="38">
        <v>45752</v>
      </c>
      <c r="B194" s="35">
        <v>44383900</v>
      </c>
      <c r="C194" s="35">
        <v>242.87</v>
      </c>
      <c r="D194">
        <v>244.11</v>
      </c>
      <c r="E194" s="35">
        <v>241.25</v>
      </c>
      <c r="F194" s="35">
        <v>242.15</v>
      </c>
    </row>
    <row r="195" spans="1:6" x14ac:dyDescent="0.25">
      <c r="A195" s="38">
        <v>45751</v>
      </c>
      <c r="B195" s="35">
        <v>38861000</v>
      </c>
      <c r="C195" s="35">
        <v>239.81</v>
      </c>
      <c r="D195">
        <v>242.76</v>
      </c>
      <c r="E195" s="35">
        <v>238.9</v>
      </c>
      <c r="F195" s="35">
        <v>241.79</v>
      </c>
    </row>
    <row r="196" spans="1:6" x14ac:dyDescent="0.25">
      <c r="A196" s="38">
        <v>45750</v>
      </c>
      <c r="B196" s="35">
        <v>48137100</v>
      </c>
      <c r="C196" s="35">
        <v>237.27</v>
      </c>
      <c r="D196">
        <v>240.79</v>
      </c>
      <c r="E196" s="35">
        <v>237.16</v>
      </c>
      <c r="F196" s="35">
        <v>238.74</v>
      </c>
    </row>
    <row r="197" spans="1:6" x14ac:dyDescent="0.25">
      <c r="A197" s="38">
        <v>45747</v>
      </c>
      <c r="B197" s="35">
        <v>28481400</v>
      </c>
      <c r="C197" s="35">
        <v>234.81</v>
      </c>
      <c r="D197">
        <v>237.81</v>
      </c>
      <c r="E197" s="35">
        <v>233.97</v>
      </c>
      <c r="F197" s="35">
        <v>236.49</v>
      </c>
    </row>
    <row r="198" spans="1:6" x14ac:dyDescent="0.25">
      <c r="A198" s="38">
        <v>45745</v>
      </c>
      <c r="B198" s="35">
        <v>33498400</v>
      </c>
      <c r="C198" s="35">
        <v>234.47</v>
      </c>
      <c r="D198">
        <v>235.69</v>
      </c>
      <c r="E198" s="35">
        <v>233.81</v>
      </c>
      <c r="F198" s="35">
        <v>234.1</v>
      </c>
    </row>
    <row r="199" spans="1:6" x14ac:dyDescent="0.25">
      <c r="A199" s="38">
        <v>45744</v>
      </c>
      <c r="B199" s="35">
        <v>45986200</v>
      </c>
      <c r="C199" s="35">
        <v>233.33</v>
      </c>
      <c r="D199">
        <v>235.57</v>
      </c>
      <c r="E199" s="35">
        <v>233.33</v>
      </c>
      <c r="F199" s="35">
        <v>234.23</v>
      </c>
    </row>
    <row r="200" spans="1:6" x14ac:dyDescent="0.25">
      <c r="A200" s="38">
        <v>45743</v>
      </c>
      <c r="B200" s="35">
        <v>90152800</v>
      </c>
      <c r="C200" s="35">
        <v>231.46</v>
      </c>
      <c r="D200">
        <v>233.25</v>
      </c>
      <c r="E200" s="35">
        <v>229.74</v>
      </c>
      <c r="F200" s="35">
        <v>232.05</v>
      </c>
    </row>
    <row r="201" spans="1:6" x14ac:dyDescent="0.25">
      <c r="A201" s="38">
        <v>45740</v>
      </c>
      <c r="B201" s="35">
        <v>38168300</v>
      </c>
      <c r="C201" s="35">
        <v>228.06</v>
      </c>
      <c r="D201">
        <v>230.72</v>
      </c>
      <c r="E201" s="35">
        <v>228.06</v>
      </c>
      <c r="F201" s="35">
        <v>229.06</v>
      </c>
    </row>
    <row r="202" spans="1:6" x14ac:dyDescent="0.25">
      <c r="A202" s="38">
        <v>45739</v>
      </c>
      <c r="B202" s="35">
        <v>42108300</v>
      </c>
      <c r="C202" s="35">
        <v>228.88</v>
      </c>
      <c r="D202">
        <v>230.16</v>
      </c>
      <c r="E202" s="35">
        <v>225.71</v>
      </c>
      <c r="F202" s="35">
        <v>227.71</v>
      </c>
    </row>
    <row r="203" spans="1:6" x14ac:dyDescent="0.25">
      <c r="A203" s="38">
        <v>45738</v>
      </c>
      <c r="B203" s="35">
        <v>35169600</v>
      </c>
      <c r="C203" s="35">
        <v>228.06</v>
      </c>
      <c r="D203">
        <v>229.93</v>
      </c>
      <c r="E203" s="35">
        <v>225.89</v>
      </c>
      <c r="F203" s="35">
        <v>228.19</v>
      </c>
    </row>
    <row r="204" spans="1:6" x14ac:dyDescent="0.25">
      <c r="A204" s="38">
        <v>45737</v>
      </c>
      <c r="B204" s="35">
        <v>36211800</v>
      </c>
      <c r="C204" s="35">
        <v>226.98</v>
      </c>
      <c r="D204">
        <v>230.16</v>
      </c>
      <c r="E204" s="35">
        <v>226.66</v>
      </c>
      <c r="F204" s="35">
        <v>227.47</v>
      </c>
    </row>
    <row r="205" spans="1:6" x14ac:dyDescent="0.25">
      <c r="A205" s="38">
        <v>45736</v>
      </c>
      <c r="B205" s="35">
        <v>44633700</v>
      </c>
      <c r="C205" s="35">
        <v>225.25</v>
      </c>
      <c r="D205">
        <v>229.74</v>
      </c>
      <c r="E205" s="35">
        <v>225.17</v>
      </c>
      <c r="F205" s="35">
        <v>227.21</v>
      </c>
    </row>
    <row r="206" spans="1:6" x14ac:dyDescent="0.25">
      <c r="A206" s="38">
        <v>45733</v>
      </c>
      <c r="B206" s="35">
        <v>47923700</v>
      </c>
      <c r="C206" s="35">
        <v>226.4</v>
      </c>
      <c r="D206">
        <v>226.92</v>
      </c>
      <c r="E206" s="35">
        <v>224.27</v>
      </c>
      <c r="F206" s="35">
        <v>224.2</v>
      </c>
    </row>
    <row r="207" spans="1:6" x14ac:dyDescent="0.25">
      <c r="A207" s="38">
        <v>45732</v>
      </c>
      <c r="B207" s="35">
        <v>44923900</v>
      </c>
      <c r="C207" s="35">
        <v>225.02</v>
      </c>
      <c r="D207">
        <v>228.87</v>
      </c>
      <c r="E207" s="35">
        <v>225</v>
      </c>
      <c r="F207" s="35">
        <v>227.41</v>
      </c>
    </row>
    <row r="208" spans="1:6" x14ac:dyDescent="0.25">
      <c r="A208" s="38">
        <v>45731</v>
      </c>
      <c r="B208" s="35">
        <v>48566200</v>
      </c>
      <c r="C208" s="35">
        <v>224.01</v>
      </c>
      <c r="D208">
        <v>226.65</v>
      </c>
      <c r="E208" s="35">
        <v>222.76</v>
      </c>
      <c r="F208" s="35">
        <v>224.32</v>
      </c>
    </row>
    <row r="209" spans="1:6" x14ac:dyDescent="0.25">
      <c r="A209" s="38">
        <v>45730</v>
      </c>
      <c r="B209" s="35">
        <v>40398300</v>
      </c>
      <c r="C209" s="35">
        <v>224.55</v>
      </c>
      <c r="D209">
        <v>225.59</v>
      </c>
      <c r="E209" s="35">
        <v>223.36</v>
      </c>
      <c r="F209" s="35">
        <v>223.44</v>
      </c>
    </row>
    <row r="210" spans="1:6" x14ac:dyDescent="0.25">
      <c r="A210" s="38">
        <v>45729</v>
      </c>
      <c r="B210" s="35">
        <v>42005600</v>
      </c>
      <c r="C210" s="35">
        <v>225</v>
      </c>
      <c r="D210">
        <v>225.7</v>
      </c>
      <c r="E210" s="35">
        <v>221.5</v>
      </c>
      <c r="F210" s="35">
        <v>223.44</v>
      </c>
    </row>
    <row r="211" spans="1:6" x14ac:dyDescent="0.25">
      <c r="A211" s="38">
        <v>45726</v>
      </c>
      <c r="B211" s="35">
        <v>38328800</v>
      </c>
      <c r="C211" s="35">
        <v>227.17</v>
      </c>
      <c r="D211">
        <v>228.66</v>
      </c>
      <c r="E211" s="35">
        <v>226.41</v>
      </c>
      <c r="F211" s="35">
        <v>226.16</v>
      </c>
    </row>
    <row r="212" spans="1:6" x14ac:dyDescent="0.25">
      <c r="A212" s="38">
        <v>45725</v>
      </c>
      <c r="B212" s="35">
        <v>42137700</v>
      </c>
      <c r="C212" s="35">
        <v>224.63</v>
      </c>
      <c r="D212">
        <v>227.88</v>
      </c>
      <c r="E212" s="35">
        <v>224.57</v>
      </c>
      <c r="F212" s="35">
        <v>226.43</v>
      </c>
    </row>
    <row r="213" spans="1:6" x14ac:dyDescent="0.25">
      <c r="A213" s="38">
        <v>45724</v>
      </c>
      <c r="B213" s="35">
        <v>54561100</v>
      </c>
      <c r="C213" s="35">
        <v>222.61</v>
      </c>
      <c r="D213">
        <v>226.07</v>
      </c>
      <c r="E213" s="35">
        <v>221.19</v>
      </c>
      <c r="F213" s="35">
        <v>221.69</v>
      </c>
    </row>
    <row r="214" spans="1:6" x14ac:dyDescent="0.25">
      <c r="A214" s="38">
        <v>45723</v>
      </c>
      <c r="B214" s="35">
        <v>28111300</v>
      </c>
      <c r="C214" s="35">
        <v>221.8</v>
      </c>
      <c r="D214">
        <v>223.95</v>
      </c>
      <c r="E214" s="35">
        <v>221.14</v>
      </c>
      <c r="F214" s="35">
        <v>222.41</v>
      </c>
    </row>
    <row r="215" spans="1:6" x14ac:dyDescent="0.25">
      <c r="A215" s="38">
        <v>45722</v>
      </c>
      <c r="B215" s="35">
        <v>44944500</v>
      </c>
      <c r="C215" s="35">
        <v>220.99</v>
      </c>
      <c r="D215">
        <v>222.79</v>
      </c>
      <c r="E215" s="35">
        <v>219.71</v>
      </c>
      <c r="F215" s="35">
        <v>220.98</v>
      </c>
    </row>
    <row r="216" spans="1:6" x14ac:dyDescent="0.25">
      <c r="A216" s="38">
        <v>45719</v>
      </c>
      <c r="B216" s="35">
        <v>65276700</v>
      </c>
      <c r="C216" s="35">
        <v>220.97</v>
      </c>
      <c r="D216">
        <v>225.35</v>
      </c>
      <c r="E216" s="35">
        <v>220.27</v>
      </c>
      <c r="F216" s="35">
        <v>221.88</v>
      </c>
    </row>
    <row r="217" spans="1:6" x14ac:dyDescent="0.25">
      <c r="A217" s="38">
        <v>45718</v>
      </c>
      <c r="B217" s="35">
        <v>64370100</v>
      </c>
      <c r="C217" s="35">
        <v>229.34</v>
      </c>
      <c r="D217">
        <v>229.83</v>
      </c>
      <c r="E217" s="35">
        <v>225.37</v>
      </c>
      <c r="F217" s="35">
        <v>224.86</v>
      </c>
    </row>
    <row r="218" spans="1:6" x14ac:dyDescent="0.25">
      <c r="A218" s="38">
        <v>45717</v>
      </c>
      <c r="B218" s="35">
        <v>47070900</v>
      </c>
      <c r="C218" s="35">
        <v>232.61</v>
      </c>
      <c r="D218">
        <v>233.47</v>
      </c>
      <c r="E218" s="35">
        <v>229.55</v>
      </c>
      <c r="F218" s="35">
        <v>229.03</v>
      </c>
    </row>
    <row r="219" spans="1:6" x14ac:dyDescent="0.25">
      <c r="A219" s="38">
        <v>45716</v>
      </c>
      <c r="B219" s="35">
        <v>35417200</v>
      </c>
      <c r="C219" s="35">
        <v>233.1</v>
      </c>
      <c r="D219">
        <v>234.33</v>
      </c>
      <c r="E219" s="35">
        <v>232.32</v>
      </c>
      <c r="F219" s="35">
        <v>232.59</v>
      </c>
    </row>
    <row r="220" spans="1:6" x14ac:dyDescent="0.25">
      <c r="A220" s="38">
        <v>45715</v>
      </c>
      <c r="B220" s="35">
        <v>36087100</v>
      </c>
      <c r="C220" s="35">
        <v>233.32</v>
      </c>
      <c r="D220">
        <v>234.73</v>
      </c>
      <c r="E220" s="35">
        <v>232.55</v>
      </c>
      <c r="F220" s="35">
        <v>232.32</v>
      </c>
    </row>
    <row r="221" spans="1:6" x14ac:dyDescent="0.25">
      <c r="A221" s="38">
        <v>45712</v>
      </c>
      <c r="B221" s="35">
        <v>38802300</v>
      </c>
      <c r="C221" s="35">
        <v>229.74</v>
      </c>
      <c r="D221">
        <v>233.22</v>
      </c>
      <c r="E221" s="35">
        <v>229.57</v>
      </c>
      <c r="F221" s="35">
        <v>230.34</v>
      </c>
    </row>
    <row r="222" spans="1:6" x14ac:dyDescent="0.25">
      <c r="A222" s="38">
        <v>45711</v>
      </c>
      <c r="B222" s="35">
        <v>31109500</v>
      </c>
      <c r="C222" s="35">
        <v>229.98</v>
      </c>
      <c r="D222">
        <v>230.82</v>
      </c>
      <c r="E222" s="35">
        <v>228.41</v>
      </c>
      <c r="F222" s="35">
        <v>229.5</v>
      </c>
    </row>
    <row r="223" spans="1:6" x14ac:dyDescent="0.25">
      <c r="A223" s="38">
        <v>45710</v>
      </c>
      <c r="B223" s="35">
        <v>52287000</v>
      </c>
      <c r="C223" s="35">
        <v>234.08</v>
      </c>
      <c r="D223">
        <v>235.14</v>
      </c>
      <c r="E223" s="35">
        <v>227.76</v>
      </c>
      <c r="F223" s="35">
        <v>229.69</v>
      </c>
    </row>
    <row r="224" spans="1:6" x14ac:dyDescent="0.25">
      <c r="A224" s="38">
        <v>45709</v>
      </c>
      <c r="B224" s="35">
        <v>38846600</v>
      </c>
      <c r="C224" s="35">
        <v>233.89</v>
      </c>
      <c r="D224">
        <v>236.22</v>
      </c>
      <c r="E224" s="35">
        <v>232.6</v>
      </c>
      <c r="F224" s="35">
        <v>234.77</v>
      </c>
    </row>
    <row r="225" spans="1:6" x14ac:dyDescent="0.25">
      <c r="A225" s="38">
        <v>45708</v>
      </c>
      <c r="B225" s="35">
        <v>36254500</v>
      </c>
      <c r="C225" s="35">
        <v>234.45</v>
      </c>
      <c r="D225">
        <v>236.85</v>
      </c>
      <c r="E225" s="35">
        <v>234.45</v>
      </c>
      <c r="F225" s="35">
        <v>235.38</v>
      </c>
    </row>
    <row r="226" spans="1:6" x14ac:dyDescent="0.25">
      <c r="A226" s="38">
        <v>45705</v>
      </c>
      <c r="B226" s="35">
        <v>46431500</v>
      </c>
      <c r="C226" s="35">
        <v>236.18</v>
      </c>
      <c r="D226">
        <v>236.18</v>
      </c>
      <c r="E226" s="35">
        <v>234.01</v>
      </c>
      <c r="F226" s="35">
        <v>233.91</v>
      </c>
    </row>
    <row r="227" spans="1:6" x14ac:dyDescent="0.25">
      <c r="A227" s="38">
        <v>45704</v>
      </c>
      <c r="B227" s="35">
        <v>32993800</v>
      </c>
      <c r="C227" s="35">
        <v>233.43</v>
      </c>
      <c r="D227">
        <v>233.85</v>
      </c>
      <c r="E227" s="35">
        <v>230.52</v>
      </c>
      <c r="F227" s="35">
        <v>231.07</v>
      </c>
    </row>
    <row r="228" spans="1:6" x14ac:dyDescent="0.25">
      <c r="A228" s="38">
        <v>45703</v>
      </c>
      <c r="B228" s="35">
        <v>34082200</v>
      </c>
      <c r="C228" s="35">
        <v>231.6</v>
      </c>
      <c r="D228">
        <v>232.12</v>
      </c>
      <c r="E228" s="35">
        <v>229.84</v>
      </c>
      <c r="F228" s="35">
        <v>230.71</v>
      </c>
    </row>
    <row r="229" spans="1:6" x14ac:dyDescent="0.25">
      <c r="A229" s="38">
        <v>45702</v>
      </c>
      <c r="B229" s="35">
        <v>64751400</v>
      </c>
      <c r="C229" s="35">
        <v>233.61</v>
      </c>
      <c r="D229">
        <v>237.49</v>
      </c>
      <c r="E229" s="35">
        <v>232.37</v>
      </c>
      <c r="F229" s="35">
        <v>232.77</v>
      </c>
    </row>
    <row r="230" spans="1:6" x14ac:dyDescent="0.25">
      <c r="A230" s="38">
        <v>45701</v>
      </c>
      <c r="B230" s="35">
        <v>39882100</v>
      </c>
      <c r="C230" s="35">
        <v>228.7</v>
      </c>
      <c r="D230">
        <v>231.73</v>
      </c>
      <c r="E230" s="35">
        <v>228.6</v>
      </c>
      <c r="F230" s="35">
        <v>230.23</v>
      </c>
    </row>
    <row r="231" spans="1:6" x14ac:dyDescent="0.25">
      <c r="A231" s="38">
        <v>45698</v>
      </c>
      <c r="B231" s="35">
        <v>31759200</v>
      </c>
      <c r="C231" s="35">
        <v>229.3</v>
      </c>
      <c r="D231">
        <v>229.41</v>
      </c>
      <c r="E231" s="35">
        <v>227.34</v>
      </c>
      <c r="F231" s="35">
        <v>226.5</v>
      </c>
    </row>
    <row r="232" spans="1:6" x14ac:dyDescent="0.25">
      <c r="A232" s="38">
        <v>45697</v>
      </c>
      <c r="B232" s="35">
        <v>28183500</v>
      </c>
      <c r="C232" s="35">
        <v>227.78</v>
      </c>
      <c r="D232">
        <v>229.5</v>
      </c>
      <c r="E232" s="35">
        <v>227.17</v>
      </c>
      <c r="F232" s="35">
        <v>227.98</v>
      </c>
    </row>
    <row r="233" spans="1:6" x14ac:dyDescent="0.25">
      <c r="A233" s="38">
        <v>45696</v>
      </c>
      <c r="B233" s="35">
        <v>33591100</v>
      </c>
      <c r="C233" s="35">
        <v>225.23</v>
      </c>
      <c r="D233">
        <v>229.75</v>
      </c>
      <c r="E233" s="35">
        <v>224.83</v>
      </c>
      <c r="F233" s="35">
        <v>228.48</v>
      </c>
    </row>
    <row r="234" spans="1:6" x14ac:dyDescent="0.25">
      <c r="A234" s="38">
        <v>45695</v>
      </c>
      <c r="B234" s="35">
        <v>31855700</v>
      </c>
      <c r="C234" s="35">
        <v>224.3</v>
      </c>
      <c r="D234">
        <v>225.98</v>
      </c>
      <c r="E234" s="35">
        <v>223.25</v>
      </c>
      <c r="F234" s="35">
        <v>224.72</v>
      </c>
    </row>
    <row r="235" spans="1:6" x14ac:dyDescent="0.25">
      <c r="A235" s="38">
        <v>45694</v>
      </c>
      <c r="B235" s="35">
        <v>39505400</v>
      </c>
      <c r="C235" s="35">
        <v>224.5</v>
      </c>
      <c r="D235">
        <v>225.69</v>
      </c>
      <c r="E235" s="35">
        <v>221.33</v>
      </c>
      <c r="F235" s="35">
        <v>220.66</v>
      </c>
    </row>
    <row r="236" spans="1:6" x14ac:dyDescent="0.25">
      <c r="A236" s="38">
        <v>45691</v>
      </c>
      <c r="B236" s="35">
        <v>37245100</v>
      </c>
      <c r="C236" s="35">
        <v>227.9</v>
      </c>
      <c r="D236">
        <v>228</v>
      </c>
      <c r="E236" s="35">
        <v>224.13</v>
      </c>
      <c r="F236" s="35">
        <v>225.75</v>
      </c>
    </row>
    <row r="237" spans="1:6" x14ac:dyDescent="0.25">
      <c r="A237" s="38">
        <v>45690</v>
      </c>
      <c r="B237" s="35">
        <v>34044200</v>
      </c>
      <c r="C237" s="35">
        <v>225.14</v>
      </c>
      <c r="D237">
        <v>226.81</v>
      </c>
      <c r="E237" s="35">
        <v>223.32</v>
      </c>
      <c r="F237" s="35">
        <v>224.62</v>
      </c>
    </row>
    <row r="238" spans="1:6" x14ac:dyDescent="0.25">
      <c r="A238" s="38">
        <v>45689</v>
      </c>
      <c r="B238" s="35">
        <v>32880600</v>
      </c>
      <c r="C238" s="35">
        <v>225.89</v>
      </c>
      <c r="D238">
        <v>227.37</v>
      </c>
      <c r="E238" s="35">
        <v>223.02</v>
      </c>
      <c r="F238" s="35">
        <v>225.73</v>
      </c>
    </row>
    <row r="239" spans="1:6" x14ac:dyDescent="0.25">
      <c r="A239" s="38">
        <v>45688</v>
      </c>
      <c r="B239" s="35">
        <v>63285000</v>
      </c>
      <c r="C239" s="35">
        <v>229.52</v>
      </c>
      <c r="D239">
        <v>229.65</v>
      </c>
      <c r="E239" s="35">
        <v>223.74</v>
      </c>
      <c r="F239" s="35">
        <v>225.16</v>
      </c>
    </row>
    <row r="240" spans="1:6" x14ac:dyDescent="0.25">
      <c r="A240" s="38">
        <v>45687</v>
      </c>
      <c r="B240" s="35">
        <v>54541900</v>
      </c>
      <c r="C240" s="35">
        <v>230.04</v>
      </c>
      <c r="D240">
        <v>233</v>
      </c>
      <c r="E240" s="35">
        <v>229.65</v>
      </c>
      <c r="F240" s="35">
        <v>231.92</v>
      </c>
    </row>
    <row r="241" spans="1:6" x14ac:dyDescent="0.25">
      <c r="A241" s="38">
        <v>45684</v>
      </c>
      <c r="B241" s="35">
        <v>34026000</v>
      </c>
      <c r="C241" s="35">
        <v>228.46</v>
      </c>
      <c r="D241">
        <v>229.52</v>
      </c>
      <c r="E241" s="35">
        <v>227.3</v>
      </c>
      <c r="F241" s="35">
        <v>226.73</v>
      </c>
    </row>
    <row r="242" spans="1:6" x14ac:dyDescent="0.25">
      <c r="A242" s="38">
        <v>45683</v>
      </c>
      <c r="B242" s="35">
        <v>36636700</v>
      </c>
      <c r="C242" s="35">
        <v>227.3</v>
      </c>
      <c r="D242">
        <v>228.5</v>
      </c>
      <c r="E242" s="35">
        <v>225.41</v>
      </c>
      <c r="F242" s="35">
        <v>226.47</v>
      </c>
    </row>
    <row r="243" spans="1:6" x14ac:dyDescent="0.25">
      <c r="A243" s="38">
        <v>45682</v>
      </c>
      <c r="B243" s="35">
        <v>42308700</v>
      </c>
      <c r="C243" s="35">
        <v>224.93</v>
      </c>
      <c r="D243">
        <v>227.29</v>
      </c>
      <c r="E243" s="35">
        <v>224.02</v>
      </c>
      <c r="F243" s="35">
        <v>225.32</v>
      </c>
    </row>
    <row r="244" spans="1:6" x14ac:dyDescent="0.25">
      <c r="A244" s="38">
        <v>45681</v>
      </c>
      <c r="B244" s="35">
        <v>43556100</v>
      </c>
      <c r="C244" s="35">
        <v>228.65</v>
      </c>
      <c r="D244">
        <v>229.35</v>
      </c>
      <c r="E244" s="35">
        <v>225.73</v>
      </c>
      <c r="F244" s="35">
        <v>226.32</v>
      </c>
    </row>
    <row r="245" spans="1:6" x14ac:dyDescent="0.25">
      <c r="A245" s="38">
        <v>45680</v>
      </c>
      <c r="B245" s="35">
        <v>54146000</v>
      </c>
      <c r="C245" s="35">
        <v>227.34</v>
      </c>
      <c r="D245">
        <v>229.45</v>
      </c>
      <c r="E245" s="35">
        <v>225.81</v>
      </c>
      <c r="F245" s="35">
        <v>225.42</v>
      </c>
    </row>
    <row r="246" spans="1:6" x14ac:dyDescent="0.25">
      <c r="A246" s="38">
        <v>45677</v>
      </c>
      <c r="B246" s="35">
        <v>318679900</v>
      </c>
      <c r="C246" s="35">
        <v>229.97</v>
      </c>
      <c r="D246">
        <v>233.09</v>
      </c>
      <c r="E246" s="35">
        <v>227.62</v>
      </c>
      <c r="F246" s="35">
        <v>227.14</v>
      </c>
    </row>
    <row r="247" spans="1:6" x14ac:dyDescent="0.25">
      <c r="A247" s="38">
        <v>45676</v>
      </c>
      <c r="B247" s="35">
        <v>66781300</v>
      </c>
      <c r="C247" s="35">
        <v>224.99</v>
      </c>
      <c r="D247">
        <v>229.82</v>
      </c>
      <c r="E247" s="35">
        <v>224.63</v>
      </c>
      <c r="F247" s="35">
        <v>227.81</v>
      </c>
    </row>
    <row r="248" spans="1:6" x14ac:dyDescent="0.25">
      <c r="A248" s="38">
        <v>45675</v>
      </c>
      <c r="B248" s="35">
        <v>59894900</v>
      </c>
      <c r="C248" s="35">
        <v>217.55</v>
      </c>
      <c r="D248">
        <v>222.71</v>
      </c>
      <c r="E248" s="35">
        <v>217.54</v>
      </c>
      <c r="F248" s="35">
        <v>219.67</v>
      </c>
    </row>
    <row r="249" spans="1:6" x14ac:dyDescent="0.25">
      <c r="A249" s="38">
        <v>45674</v>
      </c>
      <c r="B249" s="35">
        <v>45519300</v>
      </c>
      <c r="C249" s="35">
        <v>215.75</v>
      </c>
      <c r="D249">
        <v>216.9</v>
      </c>
      <c r="E249" s="35">
        <v>214.5</v>
      </c>
      <c r="F249" s="35">
        <v>215.79</v>
      </c>
    </row>
    <row r="250" spans="1:6" x14ac:dyDescent="0.25">
      <c r="A250" s="38">
        <v>45673</v>
      </c>
      <c r="B250" s="35">
        <v>59357400</v>
      </c>
      <c r="C250" s="35">
        <v>216.54</v>
      </c>
      <c r="D250">
        <v>217.22</v>
      </c>
      <c r="E250" s="35">
        <v>213.92</v>
      </c>
      <c r="F250" s="35">
        <v>215.32</v>
      </c>
    </row>
    <row r="251" spans="1:6" x14ac:dyDescent="0.25">
      <c r="A251" s="38">
        <v>45670</v>
      </c>
      <c r="B251" s="35">
        <v>36766600</v>
      </c>
      <c r="C251" s="35">
        <v>223.58</v>
      </c>
      <c r="D251">
        <v>224.04</v>
      </c>
      <c r="E251" s="35">
        <v>221.91</v>
      </c>
      <c r="F251" s="35">
        <v>221.47</v>
      </c>
    </row>
    <row r="252" spans="1:6" x14ac:dyDescent="0.25">
      <c r="A252" s="38">
        <v>45669</v>
      </c>
      <c r="B252" s="35">
        <v>37455600</v>
      </c>
      <c r="C252" s="35">
        <v>222.5</v>
      </c>
      <c r="D252">
        <v>223.55</v>
      </c>
      <c r="E252" s="35">
        <v>219.82</v>
      </c>
      <c r="F252" s="35">
        <v>221.74</v>
      </c>
    </row>
    <row r="253" spans="1:6" x14ac:dyDescent="0.25">
      <c r="A253" s="38">
        <v>45668</v>
      </c>
      <c r="B253" s="35">
        <v>44587100</v>
      </c>
      <c r="C253" s="35">
        <v>221.46</v>
      </c>
      <c r="D253">
        <v>223.09</v>
      </c>
      <c r="E253" s="35">
        <v>217.89</v>
      </c>
      <c r="F253" s="35">
        <v>221.63</v>
      </c>
    </row>
    <row r="254" spans="1:6" x14ac:dyDescent="0.25">
      <c r="A254" s="38">
        <v>45667</v>
      </c>
      <c r="B254" s="35">
        <v>51591000</v>
      </c>
      <c r="C254" s="35">
        <v>218.92</v>
      </c>
      <c r="D254">
        <v>221.48</v>
      </c>
      <c r="E254" s="35">
        <v>216.73</v>
      </c>
      <c r="F254" s="35">
        <v>219.09</v>
      </c>
    </row>
  </sheetData>
  <pageMargins left="0.7" right="0.7" top="0.75" bottom="0.75" header="0.3" footer="0.3"/>
  <pageSetup orientation="portrait" r:id="rId1"/>
  <drawing r:id="rId2"/>
</worksheet>
</file>

<file path=docMetadata/LabelInfo.xml><?xml version="1.0" encoding="utf-8"?>
<clbl:labelList xmlns:clbl="http://schemas.microsoft.com/office/2020/mipLabelMetadata">
  <clbl:label id="{a36450eb-db06-42a7-8d1b-026719f701e3}" enabled="0" method="" siteId="{a36450eb-db06-42a7-8d1b-026719f701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Pie Of Pie</vt:lpstr>
      <vt:lpstr>Footware Purchases</vt:lpstr>
      <vt:lpstr>Camping Purchases</vt:lpstr>
      <vt:lpstr>Personal Monthly Cashflow</vt:lpstr>
      <vt:lpstr>S &amp; P 500</vt:lpstr>
      <vt:lpstr>Apple</vt:lpstr>
    </vt:vector>
  </TitlesOfParts>
  <Company>MOMD Inc 2026 Spring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Armstrong</dc:creator>
  <cp:lastModifiedBy>Jeremiah West</cp:lastModifiedBy>
  <dcterms:created xsi:type="dcterms:W3CDTF">2026-01-17T20:34:46Z</dcterms:created>
  <dcterms:modified xsi:type="dcterms:W3CDTF">2026-02-04T19:29:27Z</dcterms:modified>
</cp:coreProperties>
</file>